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mzo\Desktop\ソーラーカー\BWSC2025\前園データ分析\"/>
    </mc:Choice>
  </mc:AlternateContent>
  <xr:revisionPtr revIDLastSave="0" documentId="13_ncr:1_{2AA3743D-7A1D-4DDB-A5A9-6FC7C98E4C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_0828" sheetId="1" r:id="rId1"/>
    <sheet name="2025_082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" l="1"/>
  <c r="I24" i="2"/>
  <c r="F25" i="2"/>
  <c r="E25" i="2"/>
  <c r="C24" i="2"/>
  <c r="F24" i="2"/>
  <c r="D24" i="2"/>
  <c r="I40" i="1"/>
  <c r="I39" i="1"/>
  <c r="F40" i="1"/>
  <c r="F39" i="1"/>
  <c r="E40" i="1"/>
  <c r="D39" i="1"/>
  <c r="C39" i="1"/>
  <c r="I23" i="1"/>
  <c r="I22" i="1"/>
  <c r="F22" i="1"/>
  <c r="E23" i="1"/>
  <c r="F23" i="1"/>
  <c r="C22" i="1"/>
  <c r="D22" i="1"/>
</calcChain>
</file>

<file path=xl/sharedStrings.xml><?xml version="1.0" encoding="utf-8"?>
<sst xmlns="http://schemas.openxmlformats.org/spreadsheetml/2006/main" count="36" uniqueCount="19">
  <si>
    <t>時刻</t>
    <rPh sb="0" eb="2">
      <t>ジコク</t>
    </rPh>
    <phoneticPr fontId="1"/>
  </si>
  <si>
    <t>充電電流</t>
    <rPh sb="0" eb="2">
      <t>ジュウデン</t>
    </rPh>
    <rPh sb="2" eb="4">
      <t>デンリュウ</t>
    </rPh>
    <phoneticPr fontId="1"/>
  </si>
  <si>
    <t>容量(Ah)</t>
    <rPh sb="0" eb="2">
      <t>ヨウリョウ</t>
    </rPh>
    <phoneticPr fontId="1"/>
  </si>
  <si>
    <t>全体電圧</t>
    <rPh sb="0" eb="4">
      <t>ゼンタイデンアツ</t>
    </rPh>
    <phoneticPr fontId="1"/>
  </si>
  <si>
    <t>平均</t>
    <rPh sb="0" eb="2">
      <t>ヘイキン</t>
    </rPh>
    <phoneticPr fontId="1"/>
  </si>
  <si>
    <t>発電量(W)</t>
    <rPh sb="0" eb="3">
      <t>ハツデンリョウ</t>
    </rPh>
    <phoneticPr fontId="1"/>
  </si>
  <si>
    <t>17:53充電終了</t>
    <rPh sb="5" eb="9">
      <t>ジュウデンシュウリョウ</t>
    </rPh>
    <phoneticPr fontId="1"/>
  </si>
  <si>
    <t>電流</t>
    <rPh sb="0" eb="2">
      <t>デンリュウ</t>
    </rPh>
    <phoneticPr fontId="1"/>
  </si>
  <si>
    <t>発電量</t>
    <rPh sb="0" eb="2">
      <t>ハツデン</t>
    </rPh>
    <rPh sb="2" eb="3">
      <t>リョウ</t>
    </rPh>
    <phoneticPr fontId="1"/>
  </si>
  <si>
    <t>zp積算電流</t>
    <rPh sb="2" eb="6">
      <t>セキサンデンリュウ</t>
    </rPh>
    <phoneticPr fontId="1"/>
  </si>
  <si>
    <t>電圧</t>
    <rPh sb="0" eb="2">
      <t>デンアツ</t>
    </rPh>
    <phoneticPr fontId="1"/>
  </si>
  <si>
    <t>2025/08/29朝充電記録</t>
    <rPh sb="10" eb="13">
      <t>アサジュウデン</t>
    </rPh>
    <rPh sb="13" eb="15">
      <t>キロク</t>
    </rPh>
    <phoneticPr fontId="1"/>
  </si>
  <si>
    <t>差</t>
    <rPh sb="0" eb="1">
      <t>サ</t>
    </rPh>
    <phoneticPr fontId="1"/>
  </si>
  <si>
    <t>発電量予測</t>
    <rPh sb="0" eb="3">
      <t>ハツデンリョウ</t>
    </rPh>
    <rPh sb="3" eb="5">
      <t>ヨソク</t>
    </rPh>
    <phoneticPr fontId="1"/>
  </si>
  <si>
    <t>①W(ave)×h</t>
    <phoneticPr fontId="1"/>
  </si>
  <si>
    <t>②充電時の積算Ah×V(ave)</t>
    <rPh sb="1" eb="4">
      <t>ジュウデンジ</t>
    </rPh>
    <rPh sb="5" eb="7">
      <t>セキサン</t>
    </rPh>
    <phoneticPr fontId="1"/>
  </si>
  <si>
    <t>zp記録発電量</t>
    <rPh sb="2" eb="4">
      <t>キロク</t>
    </rPh>
    <rPh sb="4" eb="7">
      <t>ハツデンリョウ</t>
    </rPh>
    <phoneticPr fontId="1"/>
  </si>
  <si>
    <t>2025/08/28朝充電記録</t>
    <rPh sb="10" eb="11">
      <t>アサ</t>
    </rPh>
    <rPh sb="11" eb="15">
      <t>ジュウデンキロク</t>
    </rPh>
    <phoneticPr fontId="1"/>
  </si>
  <si>
    <t>2025/08/28夕方充電記録</t>
    <rPh sb="10" eb="12">
      <t>ユウガタ</t>
    </rPh>
    <rPh sb="12" eb="16">
      <t>ジュウデンキロク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</si>
</sst>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9" fontId="0" fillId="0" borderId="0" xfId="1" applyFont="1" applyAlignment="1"/>
    <xf numFmtId="0" fontId="0" fillId="0" borderId="0" xfId="1" applyNumberFormat="1" applyFont="1" applyAlignment="1"/>
    <xf numFmtId="0" fontId="0" fillId="0" borderId="1" xfId="0" applyBorder="1"/>
    <xf numFmtId="20" fontId="0" fillId="0" borderId="1" xfId="0" applyNumberFormat="1" applyBorder="1"/>
    <xf numFmtId="0" fontId="0" fillId="0" borderId="1" xfId="1" applyNumberFormat="1" applyFont="1" applyBorder="1" applyAlignment="1"/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D43" sqref="D43"/>
    </sheetView>
  </sheetViews>
  <sheetFormatPr defaultRowHeight="18"/>
  <cols>
    <col min="2" max="2" width="5.6640625" bestFit="1" customWidth="1"/>
    <col min="3" max="3" width="8.25" customWidth="1"/>
    <col min="4" max="4" width="9.25" customWidth="1"/>
    <col min="5" max="7" width="8.25" customWidth="1"/>
    <col min="8" max="8" width="24.6640625" bestFit="1" customWidth="1"/>
    <col min="9" max="17" width="8.25" customWidth="1"/>
  </cols>
  <sheetData>
    <row r="1" spans="1:6">
      <c r="A1" t="s">
        <v>17</v>
      </c>
    </row>
    <row r="2" spans="1:6">
      <c r="B2" s="3" t="s">
        <v>0</v>
      </c>
      <c r="C2" s="3" t="s">
        <v>1</v>
      </c>
      <c r="D2" s="3" t="s">
        <v>5</v>
      </c>
      <c r="E2" s="3" t="s">
        <v>2</v>
      </c>
      <c r="F2" s="3" t="s">
        <v>3</v>
      </c>
    </row>
    <row r="3" spans="1:6">
      <c r="B3" s="4">
        <v>0.28819444444444442</v>
      </c>
      <c r="C3" s="3">
        <v>0.2</v>
      </c>
      <c r="D3" s="3">
        <v>70</v>
      </c>
      <c r="E3" s="3">
        <v>21.9</v>
      </c>
      <c r="F3" s="3">
        <v>91.4</v>
      </c>
    </row>
    <row r="4" spans="1:6">
      <c r="B4" s="4">
        <v>0.29166666666666669</v>
      </c>
      <c r="C4" s="3">
        <v>1.6</v>
      </c>
      <c r="D4" s="3">
        <v>170</v>
      </c>
      <c r="E4" s="3"/>
      <c r="F4" s="3">
        <v>91.6</v>
      </c>
    </row>
    <row r="5" spans="1:6">
      <c r="B5" s="4">
        <v>0.2951388888888889</v>
      </c>
      <c r="C5" s="3">
        <v>2.5</v>
      </c>
      <c r="D5" s="3">
        <v>277</v>
      </c>
      <c r="E5" s="3"/>
      <c r="F5" s="3">
        <v>91.9</v>
      </c>
    </row>
    <row r="6" spans="1:6">
      <c r="B6" s="4">
        <v>0.2986111111111111</v>
      </c>
      <c r="C6" s="3">
        <v>3.3</v>
      </c>
      <c r="D6" s="3">
        <v>349</v>
      </c>
      <c r="E6" s="3"/>
      <c r="F6" s="3">
        <v>92.2</v>
      </c>
    </row>
    <row r="7" spans="1:6">
      <c r="B7" s="4">
        <v>0.30208333333333331</v>
      </c>
      <c r="C7" s="3">
        <v>4.0199999999999996</v>
      </c>
      <c r="D7" s="3">
        <v>442</v>
      </c>
      <c r="E7" s="3"/>
      <c r="F7" s="3">
        <v>92.4</v>
      </c>
    </row>
    <row r="8" spans="1:6">
      <c r="B8" s="4">
        <v>0.30555555555555558</v>
      </c>
      <c r="C8" s="3">
        <v>4.8</v>
      </c>
      <c r="D8" s="3">
        <v>506</v>
      </c>
      <c r="E8" s="3"/>
      <c r="F8" s="3">
        <v>92.7</v>
      </c>
    </row>
    <row r="9" spans="1:6">
      <c r="B9" s="4">
        <v>0.30902777777777779</v>
      </c>
      <c r="C9" s="3">
        <v>5.27</v>
      </c>
      <c r="D9" s="3">
        <v>563</v>
      </c>
      <c r="E9" s="3"/>
      <c r="F9" s="3">
        <v>93.1</v>
      </c>
    </row>
    <row r="10" spans="1:6">
      <c r="B10" s="4">
        <v>0.3125</v>
      </c>
      <c r="C10" s="3">
        <v>5.9</v>
      </c>
      <c r="D10" s="3">
        <v>625</v>
      </c>
      <c r="E10" s="3"/>
      <c r="F10" s="3">
        <v>93.6</v>
      </c>
    </row>
    <row r="11" spans="1:6">
      <c r="B11" s="4">
        <v>0.31597222222222221</v>
      </c>
      <c r="C11" s="3">
        <v>6.45</v>
      </c>
      <c r="D11" s="3">
        <v>648</v>
      </c>
      <c r="E11" s="3"/>
      <c r="F11" s="3">
        <v>94.2</v>
      </c>
    </row>
    <row r="12" spans="1:6">
      <c r="B12" s="4">
        <v>0.31944444444444442</v>
      </c>
      <c r="C12" s="3">
        <v>6.75</v>
      </c>
      <c r="D12" s="3">
        <v>722</v>
      </c>
      <c r="E12" s="3"/>
      <c r="F12" s="3">
        <v>94.5</v>
      </c>
    </row>
    <row r="13" spans="1:6">
      <c r="B13" s="4">
        <v>0.32291666666666669</v>
      </c>
      <c r="C13" s="3">
        <v>6.97</v>
      </c>
      <c r="D13" s="3">
        <v>788</v>
      </c>
      <c r="E13" s="3"/>
      <c r="F13" s="3">
        <v>95</v>
      </c>
    </row>
    <row r="14" spans="1:6">
      <c r="B14" s="4">
        <v>0.3263888888888889</v>
      </c>
      <c r="C14" s="3">
        <v>7.3</v>
      </c>
      <c r="D14" s="3">
        <v>851</v>
      </c>
      <c r="E14" s="3"/>
      <c r="F14" s="3">
        <v>95.5</v>
      </c>
    </row>
    <row r="15" spans="1:6">
      <c r="B15" s="4">
        <v>0.3298611111111111</v>
      </c>
      <c r="C15" s="3">
        <v>7.97</v>
      </c>
      <c r="D15" s="3">
        <v>864</v>
      </c>
      <c r="E15" s="3"/>
      <c r="F15" s="3">
        <v>96</v>
      </c>
    </row>
    <row r="16" spans="1:6">
      <c r="B16" s="4">
        <v>0.33333333333333331</v>
      </c>
      <c r="C16" s="3">
        <v>8.0500000000000007</v>
      </c>
      <c r="D16" s="3">
        <v>894</v>
      </c>
      <c r="E16" s="3"/>
      <c r="F16" s="3">
        <v>96.3</v>
      </c>
    </row>
    <row r="17" spans="1:11">
      <c r="B17" s="4">
        <v>0.33680555555555558</v>
      </c>
      <c r="C17" s="3">
        <v>8.27</v>
      </c>
      <c r="D17" s="3">
        <v>899</v>
      </c>
      <c r="E17" s="3"/>
      <c r="F17" s="3">
        <v>96.8</v>
      </c>
    </row>
    <row r="18" spans="1:11">
      <c r="B18" s="4">
        <v>0.34027777777777779</v>
      </c>
      <c r="C18" s="3">
        <v>8.3000000000000007</v>
      </c>
      <c r="D18" s="3">
        <v>905</v>
      </c>
      <c r="E18" s="3"/>
      <c r="F18" s="3">
        <v>97</v>
      </c>
    </row>
    <row r="19" spans="1:11">
      <c r="B19" s="4">
        <v>0.34375</v>
      </c>
      <c r="C19" s="3">
        <v>8.3800000000000008</v>
      </c>
      <c r="D19" s="3">
        <v>914</v>
      </c>
      <c r="E19" s="3"/>
      <c r="F19" s="3">
        <v>97.5</v>
      </c>
    </row>
    <row r="20" spans="1:11">
      <c r="B20" s="4">
        <v>0.34722222222222221</v>
      </c>
      <c r="C20" s="3">
        <v>8.5</v>
      </c>
      <c r="D20" s="3">
        <v>920</v>
      </c>
      <c r="E20" s="3"/>
      <c r="F20" s="3">
        <v>98.3</v>
      </c>
    </row>
    <row r="21" spans="1:11">
      <c r="B21" s="4">
        <v>0.35069444444444442</v>
      </c>
      <c r="C21" s="3">
        <v>8.65</v>
      </c>
      <c r="D21" s="3">
        <v>944</v>
      </c>
      <c r="E21" s="3">
        <v>31.1</v>
      </c>
      <c r="F21" s="3">
        <v>99.6</v>
      </c>
      <c r="H21" t="s">
        <v>13</v>
      </c>
      <c r="J21" t="s">
        <v>16</v>
      </c>
    </row>
    <row r="22" spans="1:11">
      <c r="A22" s="3" t="s">
        <v>4</v>
      </c>
      <c r="B22" s="4"/>
      <c r="C22" s="3">
        <f>AVERAGE(C3:C21)</f>
        <v>5.9568421052631573</v>
      </c>
      <c r="D22" s="3">
        <f>AVERAGE(D3:D21)</f>
        <v>650.0526315789474</v>
      </c>
      <c r="E22" s="3"/>
      <c r="F22" s="5">
        <f>AVERAGE(F3:F21)</f>
        <v>94.715789473684211</v>
      </c>
      <c r="H22" t="s">
        <v>14</v>
      </c>
      <c r="I22">
        <f>D22*1.5</f>
        <v>975.07894736842104</v>
      </c>
      <c r="K22">
        <v>957.17100000000005</v>
      </c>
    </row>
    <row r="23" spans="1:11">
      <c r="A23" s="3" t="s">
        <v>12</v>
      </c>
      <c r="B23" s="4"/>
      <c r="C23" s="3"/>
      <c r="D23" s="3"/>
      <c r="E23" s="3">
        <f>E21-E3</f>
        <v>9.2000000000000028</v>
      </c>
      <c r="F23" s="3">
        <f>F21-F3</f>
        <v>8.1999999999999886</v>
      </c>
      <c r="H23" t="s">
        <v>15</v>
      </c>
      <c r="I23">
        <f>E23*F22</f>
        <v>871.385263157895</v>
      </c>
    </row>
    <row r="24" spans="1:11">
      <c r="E24" s="1"/>
      <c r="F24" s="1"/>
    </row>
    <row r="25" spans="1:11">
      <c r="A25" t="s">
        <v>18</v>
      </c>
      <c r="E25" s="1"/>
      <c r="F25" s="2"/>
    </row>
    <row r="26" spans="1:11">
      <c r="B26" s="3" t="s">
        <v>0</v>
      </c>
      <c r="C26" s="3" t="s">
        <v>1</v>
      </c>
      <c r="D26" s="3" t="s">
        <v>5</v>
      </c>
      <c r="E26" s="3" t="s">
        <v>2</v>
      </c>
      <c r="F26" s="3" t="s">
        <v>3</v>
      </c>
    </row>
    <row r="27" spans="1:11">
      <c r="B27" s="4">
        <v>0.70833333333333337</v>
      </c>
      <c r="C27" s="3">
        <v>1.1499999999999999</v>
      </c>
      <c r="D27" s="3">
        <v>130</v>
      </c>
      <c r="E27" s="3">
        <v>17.3</v>
      </c>
      <c r="F27" s="3">
        <v>88.3</v>
      </c>
    </row>
    <row r="28" spans="1:11">
      <c r="B28" s="4">
        <v>0.71180555555555558</v>
      </c>
      <c r="C28" s="3">
        <v>7.65</v>
      </c>
      <c r="D28" s="3">
        <v>770</v>
      </c>
      <c r="E28" s="3">
        <v>17.399999999999999</v>
      </c>
      <c r="F28" s="3">
        <v>89.6</v>
      </c>
    </row>
    <row r="29" spans="1:11">
      <c r="B29" s="4">
        <v>0.71527777777777779</v>
      </c>
      <c r="C29" s="3">
        <v>7.65</v>
      </c>
      <c r="D29" s="3">
        <v>770</v>
      </c>
      <c r="E29" s="3">
        <v>18.100000000000001</v>
      </c>
      <c r="F29" s="3">
        <v>90.1</v>
      </c>
    </row>
    <row r="30" spans="1:11">
      <c r="B30" s="4">
        <v>0.71875</v>
      </c>
      <c r="C30" s="3">
        <v>6.95</v>
      </c>
      <c r="D30" s="3">
        <v>705</v>
      </c>
      <c r="E30" s="3">
        <v>18.600000000000001</v>
      </c>
      <c r="F30" s="3">
        <v>90.3</v>
      </c>
    </row>
    <row r="31" spans="1:11">
      <c r="B31" s="4">
        <v>0.72222222222222221</v>
      </c>
      <c r="C31" s="3">
        <v>2.5</v>
      </c>
      <c r="D31" s="3">
        <v>226</v>
      </c>
      <c r="E31" s="3">
        <v>19.100000000000001</v>
      </c>
      <c r="F31" s="3">
        <v>89.6</v>
      </c>
    </row>
    <row r="32" spans="1:11">
      <c r="B32" s="4">
        <v>0.72569444444444442</v>
      </c>
      <c r="C32" s="3">
        <v>0.57999999999999996</v>
      </c>
      <c r="D32" s="3">
        <v>77</v>
      </c>
      <c r="E32" s="3">
        <v>19.2</v>
      </c>
      <c r="F32" s="3">
        <v>89.2</v>
      </c>
    </row>
    <row r="33" spans="1:11">
      <c r="B33" s="4">
        <v>0.72916666666666663</v>
      </c>
      <c r="C33" s="3">
        <v>5</v>
      </c>
      <c r="D33" s="3">
        <v>515</v>
      </c>
      <c r="E33" s="3">
        <v>19.399999999999999</v>
      </c>
      <c r="F33" s="3">
        <v>90.1</v>
      </c>
    </row>
    <row r="34" spans="1:11">
      <c r="B34" s="4">
        <v>0.73263888888888884</v>
      </c>
      <c r="C34" s="3">
        <v>3.07</v>
      </c>
      <c r="D34" s="3">
        <v>330</v>
      </c>
      <c r="E34" s="3">
        <v>19.8</v>
      </c>
      <c r="F34" s="3">
        <v>90</v>
      </c>
    </row>
    <row r="35" spans="1:11">
      <c r="B35" s="4">
        <v>0.73611111111111116</v>
      </c>
      <c r="C35" s="3">
        <v>0.83</v>
      </c>
      <c r="D35" s="3">
        <v>126</v>
      </c>
      <c r="E35" s="3">
        <v>19.899999999999999</v>
      </c>
      <c r="F35" s="3">
        <v>89.5</v>
      </c>
    </row>
    <row r="36" spans="1:11">
      <c r="B36" s="4">
        <v>0.73958333333333337</v>
      </c>
      <c r="C36" s="3">
        <v>0.25</v>
      </c>
      <c r="D36" s="3">
        <v>24</v>
      </c>
      <c r="E36" s="3">
        <v>19.899999999999999</v>
      </c>
      <c r="F36" s="3">
        <v>89.5</v>
      </c>
    </row>
    <row r="37" spans="1:11">
      <c r="B37" s="4">
        <v>0.74305555555555558</v>
      </c>
      <c r="C37" s="3">
        <v>0.12</v>
      </c>
      <c r="D37" s="3">
        <v>34</v>
      </c>
      <c r="E37" s="3">
        <v>19.899999999999999</v>
      </c>
      <c r="F37" s="3">
        <v>89.4</v>
      </c>
    </row>
    <row r="38" spans="1:11">
      <c r="A38" t="s">
        <v>6</v>
      </c>
      <c r="B38" s="4"/>
      <c r="C38" s="3"/>
      <c r="D38" s="3"/>
      <c r="E38" s="3"/>
      <c r="F38" s="3"/>
      <c r="H38" t="s">
        <v>13</v>
      </c>
      <c r="J38" t="s">
        <v>16</v>
      </c>
    </row>
    <row r="39" spans="1:11">
      <c r="A39" s="3" t="s">
        <v>4</v>
      </c>
      <c r="B39" s="4"/>
      <c r="C39" s="3">
        <f>AVERAGE(C27:C37)</f>
        <v>3.2499999999999996</v>
      </c>
      <c r="D39" s="3">
        <f>AVERAGE(D27:D37)</f>
        <v>337</v>
      </c>
      <c r="E39" s="3"/>
      <c r="F39" s="3">
        <f t="shared" ref="F39" si="0">AVERAGE(F27:F37)</f>
        <v>89.600000000000009</v>
      </c>
      <c r="H39" t="s">
        <v>14</v>
      </c>
      <c r="I39">
        <f>D39*50/60</f>
        <v>280.83333333333331</v>
      </c>
      <c r="K39">
        <v>280.87900000000002</v>
      </c>
    </row>
    <row r="40" spans="1:11">
      <c r="A40" s="3" t="s">
        <v>12</v>
      </c>
      <c r="B40" s="3"/>
      <c r="C40" s="3"/>
      <c r="D40" s="3"/>
      <c r="E40" s="3">
        <f>E37-E27</f>
        <v>2.5999999999999979</v>
      </c>
      <c r="F40" s="3">
        <f>F37-F27</f>
        <v>1.1000000000000085</v>
      </c>
      <c r="H40" t="s">
        <v>15</v>
      </c>
      <c r="I40">
        <f>E40*F39</f>
        <v>232.95999999999984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C7F9-6E24-4450-992C-8790EDA12A0E}">
  <dimension ref="A1:I25"/>
  <sheetViews>
    <sheetView workbookViewId="0">
      <selection activeCell="H21" sqref="H21"/>
    </sheetView>
  </sheetViews>
  <sheetFormatPr defaultRowHeight="18"/>
  <cols>
    <col min="8" max="8" width="24.6640625" bestFit="1" customWidth="1"/>
  </cols>
  <sheetData>
    <row r="1" spans="2:6">
      <c r="B1" t="s">
        <v>11</v>
      </c>
    </row>
    <row r="2" spans="2:6">
      <c r="B2" s="3" t="s">
        <v>0</v>
      </c>
      <c r="C2" s="3" t="s">
        <v>7</v>
      </c>
      <c r="D2" s="3" t="s">
        <v>8</v>
      </c>
      <c r="E2" s="3" t="s">
        <v>9</v>
      </c>
      <c r="F2" s="3" t="s">
        <v>10</v>
      </c>
    </row>
    <row r="3" spans="2:6">
      <c r="B3" s="4">
        <v>0.28472222222222221</v>
      </c>
      <c r="C3" s="3">
        <v>1.35</v>
      </c>
      <c r="D3" s="3">
        <v>159</v>
      </c>
      <c r="E3" s="3">
        <v>19.899999999999999</v>
      </c>
      <c r="F3" s="3">
        <v>89.6</v>
      </c>
    </row>
    <row r="4" spans="2:6">
      <c r="B4" s="4">
        <v>0.28819444444444442</v>
      </c>
      <c r="C4" s="3">
        <v>2.0699999999999998</v>
      </c>
      <c r="D4" s="3">
        <v>233</v>
      </c>
      <c r="E4" s="3">
        <v>20</v>
      </c>
      <c r="F4" s="3">
        <v>89.9</v>
      </c>
    </row>
    <row r="5" spans="2:6">
      <c r="B5" s="4">
        <v>0.29166666666666702</v>
      </c>
      <c r="C5" s="3">
        <v>2.73</v>
      </c>
      <c r="D5" s="3">
        <v>296</v>
      </c>
      <c r="E5" s="3">
        <v>20.2</v>
      </c>
      <c r="F5" s="3">
        <v>90.2</v>
      </c>
    </row>
    <row r="6" spans="2:6">
      <c r="B6" s="4">
        <v>0.29513888888888901</v>
      </c>
      <c r="C6" s="3">
        <v>3.05</v>
      </c>
      <c r="D6" s="3">
        <v>369</v>
      </c>
      <c r="E6" s="3">
        <v>20.5</v>
      </c>
      <c r="F6" s="3">
        <v>90.4</v>
      </c>
    </row>
    <row r="7" spans="2:6">
      <c r="B7" s="4">
        <v>0.29861111111111099</v>
      </c>
      <c r="C7" s="3">
        <v>4.28</v>
      </c>
      <c r="D7" s="3">
        <v>454</v>
      </c>
      <c r="E7" s="3">
        <v>20.8</v>
      </c>
      <c r="F7" s="3">
        <v>90.8</v>
      </c>
    </row>
    <row r="8" spans="2:6">
      <c r="B8" s="4">
        <v>0.30208333333333298</v>
      </c>
      <c r="C8" s="3">
        <v>5.08</v>
      </c>
      <c r="D8" s="3">
        <v>528</v>
      </c>
      <c r="E8" s="3">
        <v>21.2</v>
      </c>
      <c r="F8" s="3">
        <v>91.2</v>
      </c>
    </row>
    <row r="9" spans="2:6">
      <c r="B9" s="4">
        <v>0.30555555555555602</v>
      </c>
      <c r="C9" s="3">
        <v>5.46</v>
      </c>
      <c r="D9" s="3">
        <v>564</v>
      </c>
      <c r="E9" s="3">
        <v>21.6</v>
      </c>
      <c r="F9" s="3">
        <v>91.3</v>
      </c>
    </row>
    <row r="10" spans="2:6">
      <c r="B10" s="4">
        <v>0.3125</v>
      </c>
      <c r="C10" s="3">
        <v>6.36</v>
      </c>
      <c r="D10" s="3">
        <v>660</v>
      </c>
      <c r="E10" s="3">
        <v>22.7</v>
      </c>
      <c r="F10" s="3">
        <v>91.9</v>
      </c>
    </row>
    <row r="11" spans="2:6">
      <c r="B11" s="4">
        <v>0.31597222222222199</v>
      </c>
      <c r="C11" s="3">
        <v>7.33</v>
      </c>
      <c r="D11" s="3">
        <v>770</v>
      </c>
      <c r="E11" s="3">
        <v>23.2</v>
      </c>
      <c r="F11" s="3">
        <v>92.3</v>
      </c>
    </row>
    <row r="12" spans="2:6">
      <c r="B12" s="4">
        <v>0.31944444444444398</v>
      </c>
      <c r="C12" s="3">
        <v>1.81</v>
      </c>
      <c r="D12" s="3">
        <v>209</v>
      </c>
      <c r="E12" s="3">
        <v>23.7</v>
      </c>
      <c r="F12" s="3">
        <v>91.1</v>
      </c>
    </row>
    <row r="13" spans="2:6">
      <c r="B13" s="4">
        <v>0.32291666666666702</v>
      </c>
      <c r="C13" s="3">
        <v>7.26</v>
      </c>
      <c r="D13" s="3">
        <v>754</v>
      </c>
      <c r="E13" s="3">
        <v>24.3</v>
      </c>
      <c r="F13" s="3">
        <v>92.7</v>
      </c>
    </row>
    <row r="14" spans="2:6">
      <c r="B14" s="4">
        <v>0.32638888888888901</v>
      </c>
      <c r="C14" s="3">
        <v>7.6</v>
      </c>
      <c r="D14" s="3">
        <v>792</v>
      </c>
      <c r="E14" s="3">
        <v>24.8</v>
      </c>
      <c r="F14" s="3">
        <v>93</v>
      </c>
    </row>
    <row r="15" spans="2:6">
      <c r="B15" s="4">
        <v>0.32986111111111099</v>
      </c>
      <c r="C15" s="3">
        <v>3.21</v>
      </c>
      <c r="D15" s="3">
        <v>372</v>
      </c>
      <c r="E15" s="3">
        <v>25.4</v>
      </c>
      <c r="F15" s="3">
        <v>92.4</v>
      </c>
    </row>
    <row r="16" spans="2:6">
      <c r="B16" s="4">
        <v>0.33333333333333298</v>
      </c>
      <c r="C16" s="3">
        <v>7.77</v>
      </c>
      <c r="D16" s="3">
        <v>837</v>
      </c>
      <c r="E16" s="3">
        <v>25.8</v>
      </c>
      <c r="F16" s="3">
        <v>92.8</v>
      </c>
    </row>
    <row r="17" spans="1:9">
      <c r="B17" s="4">
        <v>0.33680555555555503</v>
      </c>
      <c r="C17" s="3">
        <v>7.84</v>
      </c>
      <c r="D17" s="3">
        <v>826</v>
      </c>
      <c r="E17" s="3">
        <v>26.4</v>
      </c>
      <c r="F17" s="3">
        <v>93.9</v>
      </c>
    </row>
    <row r="18" spans="1:9">
      <c r="B18" s="4">
        <v>0.34027777777777801</v>
      </c>
      <c r="C18" s="3">
        <v>8.1</v>
      </c>
      <c r="D18" s="3">
        <v>847</v>
      </c>
      <c r="E18" s="3">
        <v>27.2</v>
      </c>
      <c r="F18" s="3">
        <v>94.3</v>
      </c>
    </row>
    <row r="19" spans="1:9">
      <c r="B19" s="4">
        <v>0.34375</v>
      </c>
      <c r="C19" s="3">
        <v>8.16</v>
      </c>
      <c r="D19" s="3">
        <v>865</v>
      </c>
      <c r="E19" s="3">
        <v>27.8</v>
      </c>
      <c r="F19" s="3">
        <v>94.8</v>
      </c>
    </row>
    <row r="20" spans="1:9">
      <c r="B20" s="4">
        <v>0.34722222222222199</v>
      </c>
      <c r="C20" s="3">
        <v>8.23</v>
      </c>
      <c r="D20" s="3">
        <v>873</v>
      </c>
      <c r="E20" s="3">
        <v>28.5</v>
      </c>
      <c r="F20" s="3">
        <v>95.3</v>
      </c>
    </row>
    <row r="21" spans="1:9">
      <c r="B21" s="4">
        <v>0.35069444444444398</v>
      </c>
      <c r="C21" s="3">
        <v>8.34</v>
      </c>
      <c r="D21" s="3">
        <v>890</v>
      </c>
      <c r="E21" s="3">
        <v>29.2</v>
      </c>
      <c r="F21" s="3">
        <v>95.7</v>
      </c>
    </row>
    <row r="22" spans="1:9">
      <c r="B22" s="4">
        <v>0.35416666666666602</v>
      </c>
      <c r="C22" s="3">
        <v>8.26</v>
      </c>
      <c r="D22" s="3">
        <v>893</v>
      </c>
      <c r="E22" s="3">
        <v>29.9</v>
      </c>
      <c r="F22" s="3">
        <v>96.2</v>
      </c>
    </row>
    <row r="23" spans="1:9">
      <c r="B23" s="4">
        <v>0.35763888888888901</v>
      </c>
      <c r="C23" s="3">
        <v>8.5299999999999994</v>
      </c>
      <c r="D23" s="3">
        <v>916</v>
      </c>
      <c r="E23" s="3">
        <v>30.6</v>
      </c>
      <c r="F23" s="3">
        <v>96.6</v>
      </c>
      <c r="H23" t="s">
        <v>13</v>
      </c>
    </row>
    <row r="24" spans="1:9">
      <c r="A24" s="3" t="s">
        <v>4</v>
      </c>
      <c r="B24" s="3"/>
      <c r="C24" s="3">
        <f>AVERAGE(C3:C23)</f>
        <v>5.8485714285714288</v>
      </c>
      <c r="D24" s="3">
        <f>AVERAGE(D3:D23)</f>
        <v>624.14285714285711</v>
      </c>
      <c r="E24" s="3"/>
      <c r="F24" s="3">
        <f t="shared" ref="F24" si="0">AVERAGE(F3:F23)</f>
        <v>92.685714285714283</v>
      </c>
      <c r="H24" t="s">
        <v>14</v>
      </c>
      <c r="I24">
        <f>D24*105/60</f>
        <v>1092.25</v>
      </c>
    </row>
    <row r="25" spans="1:9">
      <c r="A25" s="3" t="s">
        <v>12</v>
      </c>
      <c r="B25" s="3"/>
      <c r="C25" s="3"/>
      <c r="D25" s="3"/>
      <c r="E25" s="3">
        <f>E23-E3</f>
        <v>10.700000000000003</v>
      </c>
      <c r="F25" s="3">
        <f>F23-F3</f>
        <v>7</v>
      </c>
      <c r="H25" t="s">
        <v>15</v>
      </c>
      <c r="I25">
        <f>E25*F24</f>
        <v>991.73714285714311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2025_0828</vt:lpstr>
      <vt:lpstr>2025_0829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前園彩心</dc:creator>
  <cp:lastModifiedBy>前園　彩心</cp:lastModifiedBy>
  <dcterms:created xsi:type="dcterms:W3CDTF">2015-06-05T18:19:34Z</dcterms:created>
  <dcterms:modified xsi:type="dcterms:W3CDTF">2025-12-26T00:55:52Z</dcterms:modified>
</cp:coreProperties>
</file>