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akayamauniv-my.sharepoint.com/personal/s2310310_wakayama-u_ac_jp/Documents/ソーラー/エネマネ/solar_ws0129-main/docs/資料-20260624T134114Z-3-001/資料/モーター/"/>
    </mc:Choice>
  </mc:AlternateContent>
  <xr:revisionPtr revIDLastSave="0" documentId="13_ncr:1_{2A72BDDB-D8C4-419C-9179-7818AA438B42}" xr6:coauthVersionLast="47" xr6:coauthVersionMax="47" xr10:uidLastSave="{00000000-0000-0000-0000-000000000000}"/>
  <bookViews>
    <workbookView minimized="1" xWindow="6480" yWindow="2250" windowWidth="21600" windowHeight="11385" activeTab="2" xr2:uid="{0D9730DA-AC46-4DD5-89FD-E280A2518E58}"/>
  </bookViews>
  <sheets>
    <sheet name="PWM_LO" sheetId="1" r:id="rId1"/>
    <sheet name="PWM_HI" sheetId="2" r:id="rId2"/>
    <sheet name="ECO_LO" sheetId="3" r:id="rId3"/>
    <sheet name="ECO_HI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5" i="2" l="1"/>
  <c r="U14" i="2" s="1"/>
  <c r="U14" i="1"/>
  <c r="U15" i="1"/>
</calcChain>
</file>

<file path=xl/sharedStrings.xml><?xml version="1.0" encoding="utf-8"?>
<sst xmlns="http://schemas.openxmlformats.org/spreadsheetml/2006/main" count="175" uniqueCount="47">
  <si>
    <t>和歌山大学 様　モータ＆コント効率測定結果</t>
    <rPh sb="0" eb="5">
      <t>ワカヤマダイガク</t>
    </rPh>
    <rPh sb="6" eb="7">
      <t>サマ</t>
    </rPh>
    <rPh sb="15" eb="17">
      <t>コウリツ</t>
    </rPh>
    <rPh sb="17" eb="19">
      <t>ソクテイ</t>
    </rPh>
    <rPh sb="19" eb="21">
      <t>ケッカ</t>
    </rPh>
    <phoneticPr fontId="3"/>
  </si>
  <si>
    <t>モータシリアルNo.</t>
  </si>
  <si>
    <t>M2096D-Ⅲ-152</t>
    <phoneticPr fontId="3"/>
  </si>
  <si>
    <t>コントシリアルNo.</t>
  </si>
  <si>
    <t>ミツバ保有品</t>
    <rPh sb="3" eb="5">
      <t>ホユウ</t>
    </rPh>
    <rPh sb="5" eb="6">
      <t>ヒン</t>
    </rPh>
    <phoneticPr fontId="3"/>
  </si>
  <si>
    <t>計測機器</t>
    <rPh sb="0" eb="4">
      <t>ケイソクキキ</t>
    </rPh>
    <phoneticPr fontId="3"/>
  </si>
  <si>
    <t>パワーメータ</t>
    <phoneticPr fontId="3"/>
  </si>
  <si>
    <t>WT1804E</t>
    <phoneticPr fontId="3"/>
  </si>
  <si>
    <t>測定条件</t>
    <rPh sb="0" eb="4">
      <t>ソクテイジョウケン</t>
    </rPh>
    <phoneticPr fontId="3"/>
  </si>
  <si>
    <t>表示機</t>
    <rPh sb="0" eb="3">
      <t>ヒョウジキ</t>
    </rPh>
    <phoneticPr fontId="3"/>
  </si>
  <si>
    <t>TS-2800</t>
    <phoneticPr fontId="3"/>
  </si>
  <si>
    <t>回転方向：</t>
    <rPh sb="0" eb="4">
      <t>カイテンホウコウ</t>
    </rPh>
    <phoneticPr fontId="3"/>
  </si>
  <si>
    <t>CCW</t>
    <phoneticPr fontId="3"/>
  </si>
  <si>
    <t>トルク検出器</t>
    <rPh sb="3" eb="6">
      <t>ケンシュツキ</t>
    </rPh>
    <phoneticPr fontId="3"/>
  </si>
  <si>
    <t>TH-1106</t>
    <phoneticPr fontId="3"/>
  </si>
  <si>
    <t>電子進角：</t>
    <rPh sb="0" eb="4">
      <t>デンシシンカク</t>
    </rPh>
    <phoneticPr fontId="3"/>
  </si>
  <si>
    <t>モード：</t>
    <phoneticPr fontId="3"/>
  </si>
  <si>
    <t>PWM　LO</t>
    <phoneticPr fontId="3"/>
  </si>
  <si>
    <t>計測機器誤差範囲</t>
    <rPh sb="0" eb="4">
      <t>ケイソクキキ</t>
    </rPh>
    <rPh sb="4" eb="8">
      <t>ゴサハンイ</t>
    </rPh>
    <phoneticPr fontId="3"/>
  </si>
  <si>
    <t>DUTY：</t>
    <phoneticPr fontId="3"/>
  </si>
  <si>
    <t>パワーメータ
読み値誤差</t>
    <rPh sb="7" eb="8">
      <t>ヨ</t>
    </rPh>
    <rPh sb="9" eb="10">
      <t>チ</t>
    </rPh>
    <rPh sb="10" eb="12">
      <t>ゴサ</t>
    </rPh>
    <phoneticPr fontId="3"/>
  </si>
  <si>
    <t>±0.05％</t>
    <phoneticPr fontId="3"/>
  </si>
  <si>
    <t>パワーメータ
レンジ誤差</t>
    <rPh sb="10" eb="12">
      <t>ゴサ</t>
    </rPh>
    <phoneticPr fontId="3"/>
  </si>
  <si>
    <t>±0.1％</t>
    <phoneticPr fontId="3"/>
  </si>
  <si>
    <t>総合効率</t>
    <rPh sb="0" eb="2">
      <t>ソウゴウ</t>
    </rPh>
    <rPh sb="2" eb="4">
      <t>コウリツ</t>
    </rPh>
    <phoneticPr fontId="3"/>
  </si>
  <si>
    <t>Ｎ(rpm)</t>
  </si>
  <si>
    <t>Ｔ(N-m)</t>
  </si>
  <si>
    <t>BRIDGESTONE 16in</t>
    <phoneticPr fontId="3"/>
  </si>
  <si>
    <t>km/h</t>
    <phoneticPr fontId="3"/>
  </si>
  <si>
    <t>電源電圧</t>
    <rPh sb="0" eb="2">
      <t>デンゲン</t>
    </rPh>
    <rPh sb="2" eb="4">
      <t>デンアツ</t>
    </rPh>
    <phoneticPr fontId="3"/>
  </si>
  <si>
    <t>Udc(V)</t>
    <phoneticPr fontId="3"/>
  </si>
  <si>
    <t>電流値</t>
    <rPh sb="0" eb="3">
      <t>デンリュウチ</t>
    </rPh>
    <phoneticPr fontId="3"/>
  </si>
  <si>
    <t>Ｉdc(A)</t>
    <phoneticPr fontId="3"/>
  </si>
  <si>
    <t>コント入力電力</t>
    <rPh sb="3" eb="5">
      <t>ニュウリョク</t>
    </rPh>
    <rPh sb="5" eb="7">
      <t>デンリョク</t>
    </rPh>
    <phoneticPr fontId="3"/>
  </si>
  <si>
    <t>Pin(W)</t>
    <phoneticPr fontId="3"/>
  </si>
  <si>
    <t>回転速度</t>
    <rPh sb="0" eb="2">
      <t>カイテン</t>
    </rPh>
    <rPh sb="2" eb="4">
      <t>ソクド</t>
    </rPh>
    <phoneticPr fontId="3"/>
  </si>
  <si>
    <t>トルク</t>
    <phoneticPr fontId="3"/>
  </si>
  <si>
    <t>モータ出力</t>
    <rPh sb="3" eb="5">
      <t>シュツリョク</t>
    </rPh>
    <phoneticPr fontId="3"/>
  </si>
  <si>
    <t>Pm(W)</t>
    <phoneticPr fontId="3"/>
  </si>
  <si>
    <t>ηt(%)</t>
    <phoneticPr fontId="3"/>
  </si>
  <si>
    <t>PWM　HI</t>
    <phoneticPr fontId="3"/>
  </si>
  <si>
    <t>ECO　LO</t>
    <phoneticPr fontId="3"/>
  </si>
  <si>
    <t>ECO HI</t>
    <phoneticPr fontId="3"/>
  </si>
  <si>
    <t>wadai</t>
    <phoneticPr fontId="2"/>
  </si>
  <si>
    <t>定常電圧</t>
    <rPh sb="0" eb="2">
      <t>テイジョウ</t>
    </rPh>
    <rPh sb="2" eb="4">
      <t>デンアツ</t>
    </rPh>
    <phoneticPr fontId="2"/>
  </si>
  <si>
    <t>直列数</t>
    <rPh sb="0" eb="3">
      <t>チョクレツスウ</t>
    </rPh>
    <phoneticPr fontId="2"/>
  </si>
  <si>
    <t>km/h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</si>
</sst>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5" x14ac:knownFonts="1">
    <font>
      <sz val="11"/>
      <color theme="1"/>
      <name val="游ゴシック"/>
      <family val="2"/>
      <scheme val="minor"/>
    </font>
    <font>
      <sz val="11"/>
      <name val="ＭＳ 明朝"/>
      <family val="1"/>
      <charset val="128"/>
    </font>
    <font>
      <sz val="6"/>
      <name val="ＭＳ Ｐゴシック"/>
      <family val="2"/>
      <charset val="128"/>
    </font>
    <font>
      <sz val="6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b/>
      <sz val="12"/>
      <color indexed="10"/>
      <name val="BIZ UD明朝 Medium"/>
      <family val="1"/>
      <charset val="128"/>
    </font>
    <font>
      <b/>
      <sz val="12"/>
      <color rgb="FFFF0000"/>
      <name val="BIZ UD明朝 Medium"/>
      <family val="1"/>
      <charset val="128"/>
    </font>
    <font>
      <sz val="11"/>
      <name val="BIZ UD明朝 Medium"/>
      <family val="1"/>
      <charset val="128"/>
    </font>
    <font>
      <sz val="11"/>
      <color theme="1"/>
      <name val="BIZ UD明朝 Medium"/>
      <family val="1"/>
      <charset val="128"/>
    </font>
    <font>
      <b/>
      <sz val="11"/>
      <color indexed="12"/>
      <name val="BIZ UD明朝 Medium"/>
      <family val="1"/>
      <charset val="128"/>
    </font>
    <font>
      <b/>
      <sz val="11"/>
      <color indexed="10"/>
      <name val="BIZ UD明朝 Medium"/>
      <family val="1"/>
      <charset val="128"/>
    </font>
    <font>
      <b/>
      <sz val="11"/>
      <color rgb="FFFF0000"/>
      <name val="BIZ UD明朝 Medium"/>
      <family val="1"/>
      <charset val="128"/>
    </font>
    <font>
      <sz val="11"/>
      <color rgb="FFFF0000"/>
      <name val="ＭＳ Ｐゴシック"/>
      <family val="3"/>
      <charset val="128"/>
    </font>
    <font>
      <sz val="11"/>
      <color rgb="FFFF0000"/>
      <name val="BIZ UD明朝 Medium"/>
      <family val="1"/>
      <charset val="128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5" fillId="0" borderId="0">
      <alignment vertical="center"/>
    </xf>
  </cellStyleXfs>
  <cellXfs count="53">
    <xf numFmtId="0" fontId="0" fillId="0" borderId="0" xfId="0"/>
    <xf numFmtId="0" fontId="4" fillId="0" borderId="0" xfId="0" applyFont="1"/>
    <xf numFmtId="176" fontId="4" fillId="0" borderId="0" xfId="0" applyNumberFormat="1" applyFont="1" applyAlignment="1">
      <alignment horizontal="center"/>
    </xf>
    <xf numFmtId="0" fontId="6" fillId="0" borderId="0" xfId="1" applyFont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right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8" fillId="0" borderId="1" xfId="0" applyFont="1" applyBorder="1" applyAlignment="1">
      <alignment horizontal="center"/>
    </xf>
    <xf numFmtId="14" fontId="8" fillId="0" borderId="0" xfId="0" quotePrefix="1" applyNumberFormat="1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2" applyFont="1" applyAlignment="1">
      <alignment horizontal="right"/>
    </xf>
    <xf numFmtId="0" fontId="8" fillId="0" borderId="0" xfId="2" applyFont="1" applyAlignment="1"/>
    <xf numFmtId="0" fontId="8" fillId="0" borderId="0" xfId="2" applyFont="1" applyAlignment="1">
      <alignment horizontal="left"/>
    </xf>
    <xf numFmtId="0" fontId="8" fillId="0" borderId="0" xfId="0" applyFont="1" applyAlignment="1">
      <alignment horizontal="center" vertical="center"/>
    </xf>
    <xf numFmtId="0" fontId="8" fillId="0" borderId="0" xfId="2" applyFont="1" applyAlignment="1">
      <alignment horizontal="right" vertical="top"/>
    </xf>
    <xf numFmtId="9" fontId="8" fillId="0" borderId="0" xfId="2" applyNumberFormat="1" applyFont="1" applyAlignment="1">
      <alignment horizontal="left" vertical="top"/>
    </xf>
    <xf numFmtId="0" fontId="8" fillId="0" borderId="1" xfId="0" applyFont="1" applyBorder="1" applyAlignment="1">
      <alignment horizontal="center" vertical="center"/>
    </xf>
    <xf numFmtId="176" fontId="12" fillId="0" borderId="0" xfId="0" applyNumberFormat="1" applyFont="1" applyAlignment="1">
      <alignment horizontal="center"/>
    </xf>
    <xf numFmtId="176" fontId="12" fillId="0" borderId="0" xfId="0" applyNumberFormat="1" applyFont="1"/>
    <xf numFmtId="9" fontId="8" fillId="0" borderId="6" xfId="1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76" fontId="8" fillId="0" borderId="8" xfId="0" applyNumberFormat="1" applyFont="1" applyBorder="1" applyAlignment="1">
      <alignment horizontal="center"/>
    </xf>
    <xf numFmtId="176" fontId="8" fillId="0" borderId="9" xfId="0" applyNumberFormat="1" applyFont="1" applyBorder="1" applyAlignment="1">
      <alignment horizontal="center"/>
    </xf>
    <xf numFmtId="176" fontId="8" fillId="0" borderId="10" xfId="0" applyNumberFormat="1" applyFont="1" applyBorder="1" applyAlignment="1">
      <alignment horizontal="center"/>
    </xf>
    <xf numFmtId="176" fontId="8" fillId="0" borderId="20" xfId="0" applyNumberFormat="1" applyFont="1" applyBorder="1" applyAlignment="1">
      <alignment horizontal="center"/>
    </xf>
    <xf numFmtId="0" fontId="8" fillId="0" borderId="1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76" fontId="8" fillId="0" borderId="12" xfId="0" applyNumberFormat="1" applyFont="1" applyBorder="1" applyAlignment="1">
      <alignment horizontal="center"/>
    </xf>
    <xf numFmtId="176" fontId="8" fillId="0" borderId="1" xfId="0" applyNumberFormat="1" applyFont="1" applyBorder="1" applyAlignment="1">
      <alignment horizontal="center"/>
    </xf>
    <xf numFmtId="176" fontId="8" fillId="0" borderId="13" xfId="0" applyNumberFormat="1" applyFont="1" applyBorder="1" applyAlignment="1">
      <alignment horizont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176" fontId="8" fillId="0" borderId="16" xfId="0" applyNumberFormat="1" applyFont="1" applyBorder="1" applyAlignment="1">
      <alignment horizontal="center"/>
    </xf>
    <xf numFmtId="176" fontId="8" fillId="0" borderId="17" xfId="0" applyNumberFormat="1" applyFont="1" applyBorder="1" applyAlignment="1">
      <alignment horizontal="center"/>
    </xf>
    <xf numFmtId="176" fontId="8" fillId="0" borderId="18" xfId="0" applyNumberFormat="1" applyFont="1" applyBorder="1" applyAlignment="1">
      <alignment horizontal="center"/>
    </xf>
    <xf numFmtId="176" fontId="12" fillId="0" borderId="19" xfId="0" applyNumberFormat="1" applyFont="1" applyBorder="1" applyAlignment="1">
      <alignment horizontal="center"/>
    </xf>
    <xf numFmtId="176" fontId="8" fillId="0" borderId="0" xfId="0" applyNumberFormat="1" applyFont="1" applyAlignment="1">
      <alignment horizontal="center"/>
    </xf>
    <xf numFmtId="0" fontId="13" fillId="0" borderId="0" xfId="0" applyFont="1"/>
    <xf numFmtId="0" fontId="14" fillId="0" borderId="0" xfId="0" applyFont="1"/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right"/>
    </xf>
    <xf numFmtId="14" fontId="8" fillId="0" borderId="0" xfId="0" quotePrefix="1" applyNumberFormat="1" applyFont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14" fontId="4" fillId="0" borderId="0" xfId="0" quotePrefix="1" applyNumberFormat="1" applyFont="1" applyAlignment="1">
      <alignment horizontal="center"/>
    </xf>
  </cellXfs>
  <cellStyles count="3">
    <cellStyle name="標準" xfId="0" builtinId="0"/>
    <cellStyle name="標準 2 2" xfId="2" xr:uid="{960D11E0-7ACD-429B-B094-B78EA7B0C069}"/>
    <cellStyle name="標準_ベルギーパンチ2015_M2096D(32-36)_2COIL仕様(WCコア)2" xfId="1" xr:uid="{D2E93AC5-7871-46C4-8D4F-5B105C5AC6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 sz="1800" b="1" i="0" baseline="0">
                <a:effectLst/>
                <a:latin typeface="BIZ UD明朝 Medium" panose="02020500000000000000" pitchFamily="17" charset="-128"/>
                <a:ea typeface="BIZ UD明朝 Medium" panose="02020500000000000000" pitchFamily="17" charset="-128"/>
              </a:rPr>
              <a:t>モータ特性</a:t>
            </a:r>
            <a:endParaRPr lang="ja-JP" altLang="ja-JP" sz="1400">
              <a:effectLst/>
              <a:latin typeface="BIZ UD明朝 Medium" panose="02020500000000000000" pitchFamily="17" charset="-128"/>
              <a:ea typeface="BIZ UD明朝 Medium" panose="02020500000000000000" pitchFamily="17" charset="-128"/>
            </a:endParaRPr>
          </a:p>
        </c:rich>
      </c:tx>
      <c:layout>
        <c:manualLayout>
          <c:xMode val="edge"/>
          <c:yMode val="edge"/>
          <c:x val="0.45027206971331851"/>
          <c:y val="1.86796712139377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073888440144695E-2"/>
          <c:y val="0.10617760617760617"/>
          <c:w val="0.85171363739917927"/>
          <c:h val="0.76757439270708461"/>
        </c:manualLayout>
      </c:layout>
      <c:scatterChart>
        <c:scatterStyle val="lineMarker"/>
        <c:varyColors val="0"/>
        <c:ser>
          <c:idx val="0"/>
          <c:order val="2"/>
          <c:spPr>
            <a:ln w="25400">
              <a:solidFill>
                <a:srgbClr val="000099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99"/>
              </a:solidFill>
              <a:ln>
                <a:solidFill>
                  <a:srgbClr val="000099"/>
                </a:solidFill>
              </a:ln>
            </c:spPr>
          </c:marker>
          <c:xVal>
            <c:numRef>
              <c:f>PWM_LO!$D$16:$T$16</c:f>
              <c:numCache>
                <c:formatCode>0.0</c:formatCode>
                <c:ptCount val="17"/>
                <c:pt idx="0">
                  <c:v>0.65925</c:v>
                </c:pt>
                <c:pt idx="1">
                  <c:v>1.1023333333333334</c:v>
                </c:pt>
                <c:pt idx="2">
                  <c:v>1.9318000000000002</c:v>
                </c:pt>
                <c:pt idx="3">
                  <c:v>2.9372500000000001</c:v>
                </c:pt>
                <c:pt idx="4">
                  <c:v>4.109</c:v>
                </c:pt>
                <c:pt idx="5">
                  <c:v>5.0226666666666668</c:v>
                </c:pt>
                <c:pt idx="6">
                  <c:v>6.0534000000000008</c:v>
                </c:pt>
                <c:pt idx="7">
                  <c:v>8.0494999999999983</c:v>
                </c:pt>
                <c:pt idx="8">
                  <c:v>10.008750000000001</c:v>
                </c:pt>
                <c:pt idx="9">
                  <c:v>12.090333333333334</c:v>
                </c:pt>
                <c:pt idx="10">
                  <c:v>14.003800000000002</c:v>
                </c:pt>
                <c:pt idx="11">
                  <c:v>15.994499999999999</c:v>
                </c:pt>
                <c:pt idx="12">
                  <c:v>17.935400000000001</c:v>
                </c:pt>
                <c:pt idx="13">
                  <c:v>19.97666666666667</c:v>
                </c:pt>
                <c:pt idx="14">
                  <c:v>24.964333333333332</c:v>
                </c:pt>
                <c:pt idx="15">
                  <c:v>30.052000000000003</c:v>
                </c:pt>
              </c:numCache>
            </c:numRef>
          </c:xVal>
          <c:yVal>
            <c:numRef>
              <c:f>PWM_LO!$D$18:$T$18</c:f>
              <c:numCache>
                <c:formatCode>0.0</c:formatCode>
                <c:ptCount val="17"/>
                <c:pt idx="0">
                  <c:v>748.5</c:v>
                </c:pt>
                <c:pt idx="1">
                  <c:v>746.9666666666667</c:v>
                </c:pt>
                <c:pt idx="2">
                  <c:v>744.02</c:v>
                </c:pt>
                <c:pt idx="3">
                  <c:v>740.17499999999995</c:v>
                </c:pt>
                <c:pt idx="4">
                  <c:v>736.6</c:v>
                </c:pt>
                <c:pt idx="5">
                  <c:v>733</c:v>
                </c:pt>
                <c:pt idx="6">
                  <c:v>729.33999999999992</c:v>
                </c:pt>
                <c:pt idx="7">
                  <c:v>722</c:v>
                </c:pt>
                <c:pt idx="8">
                  <c:v>715.75</c:v>
                </c:pt>
                <c:pt idx="9">
                  <c:v>708.63333333333333</c:v>
                </c:pt>
                <c:pt idx="10">
                  <c:v>702.4</c:v>
                </c:pt>
                <c:pt idx="11">
                  <c:v>696.84999999999991</c:v>
                </c:pt>
                <c:pt idx="12">
                  <c:v>690.92</c:v>
                </c:pt>
                <c:pt idx="13">
                  <c:v>684.9</c:v>
                </c:pt>
                <c:pt idx="14">
                  <c:v>671.76666666666677</c:v>
                </c:pt>
                <c:pt idx="15">
                  <c:v>659.68000000000006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DA-4FE3-B86B-7C01D77D6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890896"/>
        <c:axId val="270891288"/>
      </c:scatterChart>
      <c:scatterChart>
        <c:scatterStyle val="lineMarker"/>
        <c:varyColors val="0"/>
        <c:ser>
          <c:idx val="2"/>
          <c:order val="0"/>
          <c:tx>
            <c:strRef>
              <c:f>PWM_LO!$B$19</c:f>
              <c:strCache>
                <c:ptCount val="1"/>
                <c:pt idx="0">
                  <c:v>トルク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FF33CC"/>
              </a:solidFill>
              <a:ln>
                <a:solidFill>
                  <a:srgbClr val="FF33CC"/>
                </a:solidFill>
              </a:ln>
            </c:spPr>
          </c:marker>
          <c:xVal>
            <c:numRef>
              <c:f>PWM_LO!$D$16:$T$16</c:f>
              <c:numCache>
                <c:formatCode>0.0</c:formatCode>
                <c:ptCount val="17"/>
                <c:pt idx="0">
                  <c:v>0.65925</c:v>
                </c:pt>
                <c:pt idx="1">
                  <c:v>1.1023333333333334</c:v>
                </c:pt>
                <c:pt idx="2">
                  <c:v>1.9318000000000002</c:v>
                </c:pt>
                <c:pt idx="3">
                  <c:v>2.9372500000000001</c:v>
                </c:pt>
                <c:pt idx="4">
                  <c:v>4.109</c:v>
                </c:pt>
                <c:pt idx="5">
                  <c:v>5.0226666666666668</c:v>
                </c:pt>
                <c:pt idx="6">
                  <c:v>6.0534000000000008</c:v>
                </c:pt>
                <c:pt idx="7">
                  <c:v>8.0494999999999983</c:v>
                </c:pt>
                <c:pt idx="8">
                  <c:v>10.008750000000001</c:v>
                </c:pt>
                <c:pt idx="9">
                  <c:v>12.090333333333334</c:v>
                </c:pt>
                <c:pt idx="10">
                  <c:v>14.003800000000002</c:v>
                </c:pt>
                <c:pt idx="11">
                  <c:v>15.994499999999999</c:v>
                </c:pt>
                <c:pt idx="12">
                  <c:v>17.935400000000001</c:v>
                </c:pt>
                <c:pt idx="13">
                  <c:v>19.97666666666667</c:v>
                </c:pt>
                <c:pt idx="14">
                  <c:v>24.964333333333332</c:v>
                </c:pt>
                <c:pt idx="15">
                  <c:v>30.052000000000003</c:v>
                </c:pt>
              </c:numCache>
            </c:numRef>
          </c:xVal>
          <c:yVal>
            <c:numRef>
              <c:f>PWM_LO!$D$19:$T$19</c:f>
              <c:numCache>
                <c:formatCode>0.0</c:formatCode>
                <c:ptCount val="17"/>
                <c:pt idx="0">
                  <c:v>0</c:v>
                </c:pt>
                <c:pt idx="1">
                  <c:v>0.58927149999999995</c:v>
                </c:pt>
                <c:pt idx="2">
                  <c:v>1.6872715</c:v>
                </c:pt>
                <c:pt idx="3">
                  <c:v>3.0067714999999997</c:v>
                </c:pt>
                <c:pt idx="4">
                  <c:v>4.5392714999999999</c:v>
                </c:pt>
                <c:pt idx="5">
                  <c:v>5.785938166666666</c:v>
                </c:pt>
                <c:pt idx="6">
                  <c:v>7.1652714999999993</c:v>
                </c:pt>
                <c:pt idx="7">
                  <c:v>9.8792714999999998</c:v>
                </c:pt>
                <c:pt idx="8">
                  <c:v>12.556771499999998</c:v>
                </c:pt>
                <c:pt idx="9">
                  <c:v>15.435938166666665</c:v>
                </c:pt>
                <c:pt idx="10">
                  <c:v>18.113271499999996</c:v>
                </c:pt>
                <c:pt idx="11">
                  <c:v>20.919271500000001</c:v>
                </c:pt>
                <c:pt idx="12">
                  <c:v>23.683271500000004</c:v>
                </c:pt>
                <c:pt idx="13">
                  <c:v>26.602604833333334</c:v>
                </c:pt>
                <c:pt idx="14">
                  <c:v>33.785938166666668</c:v>
                </c:pt>
                <c:pt idx="15">
                  <c:v>41.1452715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DA-4FE3-B86B-7C01D77D61CE}"/>
            </c:ext>
          </c:extLst>
        </c:ser>
        <c:ser>
          <c:idx val="4"/>
          <c:order val="4"/>
          <c:tx>
            <c:strRef>
              <c:f>PWM_LO!$B$21</c:f>
              <c:strCache>
                <c:ptCount val="1"/>
                <c:pt idx="0">
                  <c:v>総合効率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PWM_LO!$D$16:$T$16</c:f>
              <c:numCache>
                <c:formatCode>0.0</c:formatCode>
                <c:ptCount val="17"/>
                <c:pt idx="0">
                  <c:v>0.65925</c:v>
                </c:pt>
                <c:pt idx="1">
                  <c:v>1.1023333333333334</c:v>
                </c:pt>
                <c:pt idx="2">
                  <c:v>1.9318000000000002</c:v>
                </c:pt>
                <c:pt idx="3">
                  <c:v>2.9372500000000001</c:v>
                </c:pt>
                <c:pt idx="4">
                  <c:v>4.109</c:v>
                </c:pt>
                <c:pt idx="5">
                  <c:v>5.0226666666666668</c:v>
                </c:pt>
                <c:pt idx="6">
                  <c:v>6.0534000000000008</c:v>
                </c:pt>
                <c:pt idx="7">
                  <c:v>8.0494999999999983</c:v>
                </c:pt>
                <c:pt idx="8">
                  <c:v>10.008750000000001</c:v>
                </c:pt>
                <c:pt idx="9">
                  <c:v>12.090333333333334</c:v>
                </c:pt>
                <c:pt idx="10">
                  <c:v>14.003800000000002</c:v>
                </c:pt>
                <c:pt idx="11">
                  <c:v>15.994499999999999</c:v>
                </c:pt>
                <c:pt idx="12">
                  <c:v>17.935400000000001</c:v>
                </c:pt>
                <c:pt idx="13">
                  <c:v>19.97666666666667</c:v>
                </c:pt>
                <c:pt idx="14">
                  <c:v>24.964333333333332</c:v>
                </c:pt>
                <c:pt idx="15">
                  <c:v>30.052000000000003</c:v>
                </c:pt>
              </c:numCache>
            </c:numRef>
          </c:xVal>
          <c:yVal>
            <c:numRef>
              <c:f>PWM_LO!$D$21:$T$21</c:f>
              <c:numCache>
                <c:formatCode>0.0</c:formatCode>
                <c:ptCount val="17"/>
                <c:pt idx="0">
                  <c:v>0</c:v>
                </c:pt>
                <c:pt idx="1">
                  <c:v>40.936139731026934</c:v>
                </c:pt>
                <c:pt idx="2">
                  <c:v>66.603193630889393</c:v>
                </c:pt>
                <c:pt idx="3">
                  <c:v>77.685899866475978</c:v>
                </c:pt>
                <c:pt idx="4">
                  <c:v>83.367581230370462</c:v>
                </c:pt>
                <c:pt idx="5">
                  <c:v>86.512470583979436</c:v>
                </c:pt>
                <c:pt idx="6">
                  <c:v>88.458437604301537</c:v>
                </c:pt>
                <c:pt idx="7">
                  <c:v>90.825465977351371</c:v>
                </c:pt>
                <c:pt idx="8">
                  <c:v>91.994209874886863</c:v>
                </c:pt>
                <c:pt idx="9">
                  <c:v>92.720470851988537</c:v>
                </c:pt>
                <c:pt idx="10">
                  <c:v>93.136980830568945</c:v>
                </c:pt>
                <c:pt idx="11">
                  <c:v>93.376279782155862</c:v>
                </c:pt>
                <c:pt idx="12">
                  <c:v>93.491800064387917</c:v>
                </c:pt>
                <c:pt idx="13">
                  <c:v>93.494614546941946</c:v>
                </c:pt>
                <c:pt idx="14">
                  <c:v>93.182642046073695</c:v>
                </c:pt>
                <c:pt idx="15">
                  <c:v>92.564504105057651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8DA-4FE3-B86B-7C01D77D6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891680"/>
        <c:axId val="270892072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1"/>
                <c:tx>
                  <c:strRef>
                    <c:extLst>
                      <c:ext uri="{02D57815-91ED-43cb-92C2-25804820EDAC}">
                        <c15:formulaRef>
                          <c15:sqref>'一般ユーザ向け(提出)'!#REF!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5400">
                    <a:solidFill>
                      <a:schemeClr val="accent6">
                        <a:lumMod val="75000"/>
                      </a:schemeClr>
                    </a:solidFill>
                    <a:prstDash val="solid"/>
                  </a:ln>
                </c:spPr>
                <c:marker>
                  <c:symbol val="circle"/>
                  <c:size val="7"/>
                  <c:spPr>
                    <a:solidFill>
                      <a:schemeClr val="accent6">
                        <a:lumMod val="75000"/>
                      </a:schemeClr>
                    </a:solidFill>
                    <a:ln>
                      <a:solidFill>
                        <a:schemeClr val="accent6">
                          <a:lumMod val="75000"/>
                        </a:schemeClr>
                      </a:solidFill>
                    </a:ln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PWM_LO!$D$16:$S$16</c15:sqref>
                        </c15:formulaRef>
                      </c:ext>
                    </c:extLst>
                    <c:numCache>
                      <c:formatCode>0.0</c:formatCode>
                      <c:ptCount val="16"/>
                      <c:pt idx="0">
                        <c:v>0.65925</c:v>
                      </c:pt>
                      <c:pt idx="1">
                        <c:v>1.1023333333333334</c:v>
                      </c:pt>
                      <c:pt idx="2">
                        <c:v>1.9318000000000002</c:v>
                      </c:pt>
                      <c:pt idx="3">
                        <c:v>2.9372500000000001</c:v>
                      </c:pt>
                      <c:pt idx="4">
                        <c:v>4.109</c:v>
                      </c:pt>
                      <c:pt idx="5">
                        <c:v>5.0226666666666668</c:v>
                      </c:pt>
                      <c:pt idx="6">
                        <c:v>6.0534000000000008</c:v>
                      </c:pt>
                      <c:pt idx="7">
                        <c:v>8.0494999999999983</c:v>
                      </c:pt>
                      <c:pt idx="8">
                        <c:v>10.008750000000001</c:v>
                      </c:pt>
                      <c:pt idx="9">
                        <c:v>12.090333333333334</c:v>
                      </c:pt>
                      <c:pt idx="10">
                        <c:v>14.003800000000002</c:v>
                      </c:pt>
                      <c:pt idx="11">
                        <c:v>15.994499999999999</c:v>
                      </c:pt>
                      <c:pt idx="12">
                        <c:v>17.935400000000001</c:v>
                      </c:pt>
                      <c:pt idx="13">
                        <c:v>19.97666666666667</c:v>
                      </c:pt>
                      <c:pt idx="14">
                        <c:v>24.964333333333332</c:v>
                      </c:pt>
                      <c:pt idx="15">
                        <c:v>30.052000000000003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'一般ユーザ向け(提出)'!#REF!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B8DA-4FE3-B86B-7C01D77D61CE}"/>
                  </c:ext>
                </c:extLst>
              </c15:ser>
            </c15:filteredScatterSeries>
            <c15:filteredScatterSeries>
              <c15:ser>
                <c:idx val="1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'一般ユーザ向け(提出)'!#REF!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>
                    <a:solidFill>
                      <a:srgbClr val="00B050"/>
                    </a:solidFill>
                  </a:ln>
                </c:spPr>
                <c:marker>
                  <c:symbol val="circle"/>
                  <c:size val="7"/>
                  <c:spPr>
                    <a:solidFill>
                      <a:srgbClr val="00B050"/>
                    </a:solidFill>
                    <a:ln>
                      <a:solidFill>
                        <a:srgbClr val="00B050"/>
                      </a:solidFill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PWM_LO!$D$16:$S$16</c15:sqref>
                        </c15:formulaRef>
                      </c:ext>
                    </c:extLst>
                    <c:numCache>
                      <c:formatCode>0.0</c:formatCode>
                      <c:ptCount val="16"/>
                      <c:pt idx="0">
                        <c:v>0.65925</c:v>
                      </c:pt>
                      <c:pt idx="1">
                        <c:v>1.1023333333333334</c:v>
                      </c:pt>
                      <c:pt idx="2">
                        <c:v>1.9318000000000002</c:v>
                      </c:pt>
                      <c:pt idx="3">
                        <c:v>2.9372500000000001</c:v>
                      </c:pt>
                      <c:pt idx="4">
                        <c:v>4.109</c:v>
                      </c:pt>
                      <c:pt idx="5">
                        <c:v>5.0226666666666668</c:v>
                      </c:pt>
                      <c:pt idx="6">
                        <c:v>6.0534000000000008</c:v>
                      </c:pt>
                      <c:pt idx="7">
                        <c:v>8.0494999999999983</c:v>
                      </c:pt>
                      <c:pt idx="8">
                        <c:v>10.008750000000001</c:v>
                      </c:pt>
                      <c:pt idx="9">
                        <c:v>12.090333333333334</c:v>
                      </c:pt>
                      <c:pt idx="10">
                        <c:v>14.003800000000002</c:v>
                      </c:pt>
                      <c:pt idx="11">
                        <c:v>15.994499999999999</c:v>
                      </c:pt>
                      <c:pt idx="12">
                        <c:v>17.935400000000001</c:v>
                      </c:pt>
                      <c:pt idx="13">
                        <c:v>19.97666666666667</c:v>
                      </c:pt>
                      <c:pt idx="14">
                        <c:v>24.964333333333332</c:v>
                      </c:pt>
                      <c:pt idx="15">
                        <c:v>30.052000000000003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'一般ユーザ向け(提出)'!#REF!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8DA-4FE3-B86B-7C01D77D61CE}"/>
                  </c:ext>
                </c:extLst>
              </c15:ser>
            </c15:filteredScatterSeries>
          </c:ext>
        </c:extLst>
      </c:scatterChart>
      <c:valAx>
        <c:axId val="270890896"/>
        <c:scaling>
          <c:orientation val="minMax"/>
          <c:max val="3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ＭＳ Ｐゴシック"/>
                    <a:cs typeface="Times New Roman" panose="02020603050405020304" pitchFamily="18" charset="0"/>
                  </a:defRPr>
                </a:pPr>
                <a:r>
                  <a:rPr lang="ja-JP" altLang="en-US" sz="1400" b="0" i="0" u="none" strike="noStrike" baseline="0">
                    <a:solidFill>
                      <a:srgbClr val="000000"/>
                    </a:solidFill>
                    <a:latin typeface="BIZ UD明朝 Medium" panose="02020500000000000000" pitchFamily="17" charset="-128"/>
                    <a:ea typeface="BIZ UD明朝 Medium" panose="02020500000000000000" pitchFamily="17" charset="-128"/>
                    <a:cs typeface="Times New Roman" panose="02020603050405020304" pitchFamily="18" charset="0"/>
                  </a:rPr>
                  <a:t>電流値 </a:t>
                </a:r>
                <a:r>
                  <a:rPr lang="en-US" altLang="ja-JP" sz="1400" b="0" i="0" u="none" strike="noStrike" baseline="0">
                    <a:solidFill>
                      <a:srgbClr val="000000"/>
                    </a:solidFill>
                    <a:latin typeface="BIZ UD明朝 Medium" panose="02020500000000000000" pitchFamily="17" charset="-128"/>
                    <a:ea typeface="BIZ UD明朝 Medium" panose="02020500000000000000" pitchFamily="17" charset="-128"/>
                    <a:cs typeface="Times New Roman" panose="02020603050405020304" pitchFamily="18" charset="0"/>
                  </a:rPr>
                  <a:t>Idc</a:t>
                </a:r>
                <a:r>
                  <a:rPr lang="ja-JP" altLang="en-US" sz="1400" b="0" i="0" u="none" strike="noStrike" baseline="0">
                    <a:solidFill>
                      <a:srgbClr val="000000"/>
                    </a:solidFill>
                    <a:latin typeface="BIZ UD明朝 Medium" panose="02020500000000000000" pitchFamily="17" charset="-128"/>
                    <a:ea typeface="BIZ UD明朝 Medium" panose="02020500000000000000" pitchFamily="17" charset="-128"/>
                    <a:cs typeface="Times New Roman" panose="02020603050405020304" pitchFamily="18" charset="0"/>
                  </a:rPr>
                  <a:t>[A]</a:t>
                </a:r>
              </a:p>
            </c:rich>
          </c:tx>
          <c:layout>
            <c:manualLayout>
              <c:xMode val="edge"/>
              <c:yMode val="edge"/>
              <c:x val="0.46250719493709458"/>
              <c:y val="0.948113379430150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BIZ UD明朝 Medium" panose="02020500000000000000" pitchFamily="17" charset="-128"/>
                <a:ea typeface="BIZ UD明朝 Medium" panose="02020500000000000000" pitchFamily="17" charset="-128"/>
                <a:cs typeface="ＭＳ Ｐゴシック"/>
              </a:defRPr>
            </a:pPr>
            <a:endParaRPr lang="ja-JP"/>
          </a:p>
        </c:txPr>
        <c:crossAx val="270891288"/>
        <c:crossesAt val="0"/>
        <c:crossBetween val="midCat"/>
        <c:majorUnit val="2"/>
      </c:valAx>
      <c:valAx>
        <c:axId val="270891288"/>
        <c:scaling>
          <c:orientation val="minMax"/>
          <c:max val="1500"/>
          <c:min val="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ＭＳ Ｐゴシック"/>
                    <a:cs typeface="Times New Roman" panose="02020603050405020304" pitchFamily="18" charset="0"/>
                  </a:defRPr>
                </a:pPr>
                <a:r>
                  <a:rPr lang="ja-JP" altLang="en-US" sz="1400" b="0" i="0" baseline="0">
                    <a:effectLst/>
                    <a:latin typeface="BIZ UD明朝 Medium" panose="02020500000000000000" pitchFamily="17" charset="-128"/>
                    <a:ea typeface="BIZ UD明朝 Medium" panose="02020500000000000000" pitchFamily="17" charset="-128"/>
                    <a:cs typeface="Times New Roman" panose="02020603050405020304" pitchFamily="18" charset="0"/>
                  </a:rPr>
                  <a:t>回転速度</a:t>
                </a:r>
                <a:r>
                  <a:rPr lang="ja-JP" altLang="ja-JP" sz="1400" b="0" i="0" baseline="0">
                    <a:effectLst/>
                    <a:latin typeface="BIZ UD明朝 Medium" panose="02020500000000000000" pitchFamily="17" charset="-128"/>
                    <a:ea typeface="BIZ UD明朝 Medium" panose="02020500000000000000" pitchFamily="17" charset="-128"/>
                    <a:cs typeface="Times New Roman" panose="02020603050405020304" pitchFamily="18" charset="0"/>
                  </a:rPr>
                  <a:t> [rpm]</a:t>
                </a:r>
                <a:endParaRPr lang="ja-JP" altLang="ja-JP" sz="1400">
                  <a:effectLst/>
                  <a:latin typeface="BIZ UD明朝 Medium" panose="02020500000000000000" pitchFamily="17" charset="-128"/>
                  <a:ea typeface="BIZ UD明朝 Medium" panose="02020500000000000000" pitchFamily="17" charset="-128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5978042462202358E-3"/>
              <c:y val="0.3019057305336833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BIZ UD明朝 Medium" panose="02020500000000000000" pitchFamily="17" charset="-128"/>
                <a:ea typeface="BIZ UD明朝 Medium" panose="02020500000000000000" pitchFamily="17" charset="-128"/>
                <a:cs typeface="ＭＳ Ｐゴシック"/>
              </a:defRPr>
            </a:pPr>
            <a:endParaRPr lang="ja-JP"/>
          </a:p>
        </c:txPr>
        <c:crossAx val="270890896"/>
        <c:crosses val="autoZero"/>
        <c:crossBetween val="midCat"/>
        <c:majorUnit val="100"/>
      </c:valAx>
      <c:valAx>
        <c:axId val="270891680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270892072"/>
        <c:crosses val="autoZero"/>
        <c:crossBetween val="midCat"/>
      </c:valAx>
      <c:valAx>
        <c:axId val="270892072"/>
        <c:scaling>
          <c:orientation val="minMax"/>
          <c:max val="100"/>
          <c:min val="0"/>
        </c:scaling>
        <c:delete val="0"/>
        <c:axPos val="r"/>
        <c:numFmt formatCode="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BIZ UD明朝 Medium" panose="02020500000000000000" pitchFamily="17" charset="-128"/>
                <a:ea typeface="BIZ UD明朝 Medium" panose="02020500000000000000" pitchFamily="17" charset="-128"/>
                <a:cs typeface="ＭＳ Ｐゴシック"/>
              </a:defRPr>
            </a:pPr>
            <a:endParaRPr lang="ja-JP"/>
          </a:p>
        </c:txPr>
        <c:crossAx val="270891680"/>
        <c:crosses val="max"/>
        <c:crossBetween val="midCat"/>
      </c:valAx>
      <c:spPr>
        <a:solidFill>
          <a:srgbClr val="FFFF99"/>
        </a:solidFill>
        <a:ln w="12700">
          <a:solidFill>
            <a:sysClr val="windowText" lastClr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>
      <c:oddHeader>&amp;A</c:oddHeader>
      <c:oddFooter>- &amp;P -</c:oddFooter>
    </c:headerFooter>
    <c:pageMargins b="1" l="0.75" r="0.75" t="1" header="0.51200000000000001" footer="0.51200000000000001"/>
    <c:pageSetup paperSize="9" orientation="landscape" horizontalDpi="240" verticalDpi="24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 sz="1800" b="1" i="0" baseline="0">
                <a:effectLst/>
                <a:latin typeface="BIZ UD明朝 Medium" panose="02020500000000000000" pitchFamily="17" charset="-128"/>
                <a:ea typeface="BIZ UD明朝 Medium" panose="02020500000000000000" pitchFamily="17" charset="-128"/>
              </a:rPr>
              <a:t>モータ特性</a:t>
            </a:r>
            <a:endParaRPr lang="ja-JP" altLang="ja-JP" sz="1400">
              <a:effectLst/>
              <a:latin typeface="BIZ UD明朝 Medium" panose="02020500000000000000" pitchFamily="17" charset="-128"/>
              <a:ea typeface="BIZ UD明朝 Medium" panose="02020500000000000000" pitchFamily="17" charset="-128"/>
            </a:endParaRPr>
          </a:p>
        </c:rich>
      </c:tx>
      <c:layout>
        <c:manualLayout>
          <c:xMode val="edge"/>
          <c:yMode val="edge"/>
          <c:x val="0.45027206971331851"/>
          <c:y val="1.86796712139377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073888440144695E-2"/>
          <c:y val="0.10617760617760617"/>
          <c:w val="0.85171363739917927"/>
          <c:h val="0.76757439270708461"/>
        </c:manualLayout>
      </c:layout>
      <c:scatterChart>
        <c:scatterStyle val="lineMarker"/>
        <c:varyColors val="0"/>
        <c:ser>
          <c:idx val="0"/>
          <c:order val="2"/>
          <c:spPr>
            <a:ln w="25400">
              <a:solidFill>
                <a:srgbClr val="000099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99"/>
              </a:solidFill>
              <a:ln>
                <a:solidFill>
                  <a:srgbClr val="000099"/>
                </a:solidFill>
              </a:ln>
            </c:spPr>
          </c:marker>
          <c:xVal>
            <c:numRef>
              <c:f>PWM_HI!$D$16:$T$16</c:f>
              <c:numCache>
                <c:formatCode>0.0</c:formatCode>
                <c:ptCount val="17"/>
                <c:pt idx="0">
                  <c:v>1.1140000000000001</c:v>
                </c:pt>
                <c:pt idx="1">
                  <c:v>1.7833333333333334</c:v>
                </c:pt>
                <c:pt idx="2">
                  <c:v>1.9983333333333333</c:v>
                </c:pt>
                <c:pt idx="3">
                  <c:v>2.9605000000000001</c:v>
                </c:pt>
                <c:pt idx="4">
                  <c:v>3.9956666666666667</c:v>
                </c:pt>
                <c:pt idx="5">
                  <c:v>5.0460000000000003</c:v>
                </c:pt>
                <c:pt idx="6">
                  <c:v>6.0386666666666668</c:v>
                </c:pt>
                <c:pt idx="7">
                  <c:v>7.9883333333333333</c:v>
                </c:pt>
                <c:pt idx="8">
                  <c:v>10.090249999999999</c:v>
                </c:pt>
                <c:pt idx="9">
                  <c:v>12.045200000000001</c:v>
                </c:pt>
                <c:pt idx="10">
                  <c:v>13.969999999999999</c:v>
                </c:pt>
                <c:pt idx="11">
                  <c:v>16.0015</c:v>
                </c:pt>
                <c:pt idx="12">
                  <c:v>17.965250000000001</c:v>
                </c:pt>
                <c:pt idx="13">
                  <c:v>20.015000000000001</c:v>
                </c:pt>
                <c:pt idx="14">
                  <c:v>24.982499999999998</c:v>
                </c:pt>
                <c:pt idx="15">
                  <c:v>29.960666666666668</c:v>
                </c:pt>
              </c:numCache>
            </c:numRef>
          </c:xVal>
          <c:yVal>
            <c:numRef>
              <c:f>PWM_HI!$D$18:$T$18</c:f>
              <c:numCache>
                <c:formatCode>0.0</c:formatCode>
                <c:ptCount val="17"/>
                <c:pt idx="0">
                  <c:v>1065</c:v>
                </c:pt>
                <c:pt idx="1">
                  <c:v>1063.5333333333333</c:v>
                </c:pt>
                <c:pt idx="2">
                  <c:v>1063.1000000000001</c:v>
                </c:pt>
                <c:pt idx="3">
                  <c:v>1060.1500000000001</c:v>
                </c:pt>
                <c:pt idx="4">
                  <c:v>1055.9333333333334</c:v>
                </c:pt>
                <c:pt idx="5">
                  <c:v>1051.7</c:v>
                </c:pt>
                <c:pt idx="6">
                  <c:v>1047.9666666666665</c:v>
                </c:pt>
                <c:pt idx="7">
                  <c:v>1039.8666666666668</c:v>
                </c:pt>
                <c:pt idx="8">
                  <c:v>1032.825</c:v>
                </c:pt>
                <c:pt idx="9">
                  <c:v>1025.2</c:v>
                </c:pt>
                <c:pt idx="10">
                  <c:v>1017.95</c:v>
                </c:pt>
                <c:pt idx="11">
                  <c:v>1011.525</c:v>
                </c:pt>
                <c:pt idx="12">
                  <c:v>1004.7</c:v>
                </c:pt>
                <c:pt idx="13">
                  <c:v>997.6</c:v>
                </c:pt>
                <c:pt idx="14">
                  <c:v>982.15000000000009</c:v>
                </c:pt>
                <c:pt idx="15">
                  <c:v>967.79999999999984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A3-42A9-B01C-40E8E6486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890896"/>
        <c:axId val="270891288"/>
      </c:scatterChart>
      <c:scatterChart>
        <c:scatterStyle val="lineMarker"/>
        <c:varyColors val="0"/>
        <c:ser>
          <c:idx val="2"/>
          <c:order val="0"/>
          <c:tx>
            <c:strRef>
              <c:f>PWM_HI!$B$19</c:f>
              <c:strCache>
                <c:ptCount val="1"/>
                <c:pt idx="0">
                  <c:v>トルク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FF33CC"/>
              </a:solidFill>
              <a:ln>
                <a:solidFill>
                  <a:srgbClr val="FF33CC"/>
                </a:solidFill>
              </a:ln>
            </c:spPr>
          </c:marker>
          <c:xVal>
            <c:numRef>
              <c:f>PWM_HI!$D$16:$T$16</c:f>
              <c:numCache>
                <c:formatCode>0.0</c:formatCode>
                <c:ptCount val="17"/>
                <c:pt idx="0">
                  <c:v>1.1140000000000001</c:v>
                </c:pt>
                <c:pt idx="1">
                  <c:v>1.7833333333333334</c:v>
                </c:pt>
                <c:pt idx="2">
                  <c:v>1.9983333333333333</c:v>
                </c:pt>
                <c:pt idx="3">
                  <c:v>2.9605000000000001</c:v>
                </c:pt>
                <c:pt idx="4">
                  <c:v>3.9956666666666667</c:v>
                </c:pt>
                <c:pt idx="5">
                  <c:v>5.0460000000000003</c:v>
                </c:pt>
                <c:pt idx="6">
                  <c:v>6.0386666666666668</c:v>
                </c:pt>
                <c:pt idx="7">
                  <c:v>7.9883333333333333</c:v>
                </c:pt>
                <c:pt idx="8">
                  <c:v>10.090249999999999</c:v>
                </c:pt>
                <c:pt idx="9">
                  <c:v>12.045200000000001</c:v>
                </c:pt>
                <c:pt idx="10">
                  <c:v>13.969999999999999</c:v>
                </c:pt>
                <c:pt idx="11">
                  <c:v>16.0015</c:v>
                </c:pt>
                <c:pt idx="12">
                  <c:v>17.965250000000001</c:v>
                </c:pt>
                <c:pt idx="13">
                  <c:v>20.015000000000001</c:v>
                </c:pt>
                <c:pt idx="14">
                  <c:v>24.982499999999998</c:v>
                </c:pt>
                <c:pt idx="15">
                  <c:v>29.960666666666668</c:v>
                </c:pt>
              </c:numCache>
            </c:numRef>
          </c:xVal>
          <c:yVal>
            <c:numRef>
              <c:f>PWM_HI!$D$19:$T$19</c:f>
              <c:numCache>
                <c:formatCode>0.0</c:formatCode>
                <c:ptCount val="17"/>
                <c:pt idx="0">
                  <c:v>0</c:v>
                </c:pt>
                <c:pt idx="1">
                  <c:v>0.62398693333333322</c:v>
                </c:pt>
                <c:pt idx="2">
                  <c:v>0.81732026666666668</c:v>
                </c:pt>
                <c:pt idx="3">
                  <c:v>1.7131535999999998</c:v>
                </c:pt>
                <c:pt idx="4">
                  <c:v>2.6706536000000001</c:v>
                </c:pt>
                <c:pt idx="5">
                  <c:v>3.6486535999999998</c:v>
                </c:pt>
                <c:pt idx="6">
                  <c:v>4.613986933333333</c:v>
                </c:pt>
                <c:pt idx="7">
                  <c:v>6.4039869333333339</c:v>
                </c:pt>
                <c:pt idx="8">
                  <c:v>8.3956535999999993</c:v>
                </c:pt>
                <c:pt idx="9">
                  <c:v>10.272653600000002</c:v>
                </c:pt>
                <c:pt idx="10">
                  <c:v>12.1406536</c:v>
                </c:pt>
                <c:pt idx="11">
                  <c:v>14.103153600000002</c:v>
                </c:pt>
                <c:pt idx="12">
                  <c:v>16.018153600000002</c:v>
                </c:pt>
                <c:pt idx="13">
                  <c:v>18.030653600000001</c:v>
                </c:pt>
                <c:pt idx="14">
                  <c:v>22.973153600000003</c:v>
                </c:pt>
                <c:pt idx="15">
                  <c:v>27.987320266666668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A3-42A9-B01C-40E8E64865F4}"/>
            </c:ext>
          </c:extLst>
        </c:ser>
        <c:ser>
          <c:idx val="4"/>
          <c:order val="4"/>
          <c:tx>
            <c:strRef>
              <c:f>PWM_HI!$B$21</c:f>
              <c:strCache>
                <c:ptCount val="1"/>
                <c:pt idx="0">
                  <c:v>総合効率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PWM_HI!$D$16:$T$16</c:f>
              <c:numCache>
                <c:formatCode>0.0</c:formatCode>
                <c:ptCount val="17"/>
                <c:pt idx="0">
                  <c:v>1.1140000000000001</c:v>
                </c:pt>
                <c:pt idx="1">
                  <c:v>1.7833333333333334</c:v>
                </c:pt>
                <c:pt idx="2">
                  <c:v>1.9983333333333333</c:v>
                </c:pt>
                <c:pt idx="3">
                  <c:v>2.9605000000000001</c:v>
                </c:pt>
                <c:pt idx="4">
                  <c:v>3.9956666666666667</c:v>
                </c:pt>
                <c:pt idx="5">
                  <c:v>5.0460000000000003</c:v>
                </c:pt>
                <c:pt idx="6">
                  <c:v>6.0386666666666668</c:v>
                </c:pt>
                <c:pt idx="7">
                  <c:v>7.9883333333333333</c:v>
                </c:pt>
                <c:pt idx="8">
                  <c:v>10.090249999999999</c:v>
                </c:pt>
                <c:pt idx="9">
                  <c:v>12.045200000000001</c:v>
                </c:pt>
                <c:pt idx="10">
                  <c:v>13.969999999999999</c:v>
                </c:pt>
                <c:pt idx="11">
                  <c:v>16.0015</c:v>
                </c:pt>
                <c:pt idx="12">
                  <c:v>17.965250000000001</c:v>
                </c:pt>
                <c:pt idx="13">
                  <c:v>20.015000000000001</c:v>
                </c:pt>
                <c:pt idx="14">
                  <c:v>24.982499999999998</c:v>
                </c:pt>
                <c:pt idx="15">
                  <c:v>29.960666666666668</c:v>
                </c:pt>
              </c:numCache>
            </c:numRef>
          </c:xVal>
          <c:yVal>
            <c:numRef>
              <c:f>PWM_HI!$D$21:$T$21</c:f>
              <c:numCache>
                <c:formatCode>0.0</c:formatCode>
                <c:ptCount val="17"/>
                <c:pt idx="0">
                  <c:v>0</c:v>
                </c:pt>
                <c:pt idx="1">
                  <c:v>38.156258603158449</c:v>
                </c:pt>
                <c:pt idx="2">
                  <c:v>44.581225165509778</c:v>
                </c:pt>
                <c:pt idx="3">
                  <c:v>62.842226055392871</c:v>
                </c:pt>
                <c:pt idx="4">
                  <c:v>72.309764206199361</c:v>
                </c:pt>
                <c:pt idx="5">
                  <c:v>77.936377710134337</c:v>
                </c:pt>
                <c:pt idx="6">
                  <c:v>82.057892803081458</c:v>
                </c:pt>
                <c:pt idx="7">
                  <c:v>85.464212344495451</c:v>
                </c:pt>
                <c:pt idx="8">
                  <c:v>88.014948794458988</c:v>
                </c:pt>
                <c:pt idx="9">
                  <c:v>89.593379444539494</c:v>
                </c:pt>
                <c:pt idx="10">
                  <c:v>90.67381045097315</c:v>
                </c:pt>
                <c:pt idx="11">
                  <c:v>91.32393865345702</c:v>
                </c:pt>
                <c:pt idx="12">
                  <c:v>91.786993243105712</c:v>
                </c:pt>
                <c:pt idx="13">
                  <c:v>92.14078325726544</c:v>
                </c:pt>
                <c:pt idx="14">
                  <c:v>92.574437284573818</c:v>
                </c:pt>
                <c:pt idx="15">
                  <c:v>92.653153253651922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A3-42A9-B01C-40E8E6486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891680"/>
        <c:axId val="270892072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1"/>
                <c:tx>
                  <c:strRef>
                    <c:extLst>
                      <c:ext uri="{02D57815-91ED-43cb-92C2-25804820EDAC}">
                        <c15:formulaRef>
                          <c15:sqref>'一般ユーザ向け(提出)'!#REF!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5400">
                    <a:solidFill>
                      <a:schemeClr val="accent6">
                        <a:lumMod val="75000"/>
                      </a:schemeClr>
                    </a:solidFill>
                    <a:prstDash val="solid"/>
                  </a:ln>
                </c:spPr>
                <c:marker>
                  <c:symbol val="circle"/>
                  <c:size val="7"/>
                  <c:spPr>
                    <a:solidFill>
                      <a:schemeClr val="accent6">
                        <a:lumMod val="75000"/>
                      </a:schemeClr>
                    </a:solidFill>
                    <a:ln>
                      <a:solidFill>
                        <a:schemeClr val="accent6">
                          <a:lumMod val="75000"/>
                        </a:schemeClr>
                      </a:solidFill>
                    </a:ln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PWM_HI!$D$16:$S$16</c15:sqref>
                        </c15:formulaRef>
                      </c:ext>
                    </c:extLst>
                    <c:numCache>
                      <c:formatCode>0.0</c:formatCode>
                      <c:ptCount val="16"/>
                      <c:pt idx="0">
                        <c:v>1.1140000000000001</c:v>
                      </c:pt>
                      <c:pt idx="1">
                        <c:v>1.7833333333333334</c:v>
                      </c:pt>
                      <c:pt idx="2">
                        <c:v>1.9983333333333333</c:v>
                      </c:pt>
                      <c:pt idx="3">
                        <c:v>2.9605000000000001</c:v>
                      </c:pt>
                      <c:pt idx="4">
                        <c:v>3.9956666666666667</c:v>
                      </c:pt>
                      <c:pt idx="5">
                        <c:v>5.0460000000000003</c:v>
                      </c:pt>
                      <c:pt idx="6">
                        <c:v>6.0386666666666668</c:v>
                      </c:pt>
                      <c:pt idx="7">
                        <c:v>7.9883333333333333</c:v>
                      </c:pt>
                      <c:pt idx="8">
                        <c:v>10.090249999999999</c:v>
                      </c:pt>
                      <c:pt idx="9">
                        <c:v>12.045200000000001</c:v>
                      </c:pt>
                      <c:pt idx="10">
                        <c:v>13.969999999999999</c:v>
                      </c:pt>
                      <c:pt idx="11">
                        <c:v>16.0015</c:v>
                      </c:pt>
                      <c:pt idx="12">
                        <c:v>17.965250000000001</c:v>
                      </c:pt>
                      <c:pt idx="13">
                        <c:v>20.015000000000001</c:v>
                      </c:pt>
                      <c:pt idx="14">
                        <c:v>24.982499999999998</c:v>
                      </c:pt>
                      <c:pt idx="15">
                        <c:v>29.960666666666668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'一般ユーザ向け(提出)'!#REF!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58A3-42A9-B01C-40E8E64865F4}"/>
                  </c:ext>
                </c:extLst>
              </c15:ser>
            </c15:filteredScatterSeries>
            <c15:filteredScatterSeries>
              <c15:ser>
                <c:idx val="1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'一般ユーザ向け(提出)'!#REF!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>
                    <a:solidFill>
                      <a:srgbClr val="00B050"/>
                    </a:solidFill>
                  </a:ln>
                </c:spPr>
                <c:marker>
                  <c:symbol val="circle"/>
                  <c:size val="7"/>
                  <c:spPr>
                    <a:solidFill>
                      <a:srgbClr val="00B050"/>
                    </a:solidFill>
                    <a:ln>
                      <a:solidFill>
                        <a:srgbClr val="00B050"/>
                      </a:solidFill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PWM_HI!$D$16:$S$16</c15:sqref>
                        </c15:formulaRef>
                      </c:ext>
                    </c:extLst>
                    <c:numCache>
                      <c:formatCode>0.0</c:formatCode>
                      <c:ptCount val="16"/>
                      <c:pt idx="0">
                        <c:v>1.1140000000000001</c:v>
                      </c:pt>
                      <c:pt idx="1">
                        <c:v>1.7833333333333334</c:v>
                      </c:pt>
                      <c:pt idx="2">
                        <c:v>1.9983333333333333</c:v>
                      </c:pt>
                      <c:pt idx="3">
                        <c:v>2.9605000000000001</c:v>
                      </c:pt>
                      <c:pt idx="4">
                        <c:v>3.9956666666666667</c:v>
                      </c:pt>
                      <c:pt idx="5">
                        <c:v>5.0460000000000003</c:v>
                      </c:pt>
                      <c:pt idx="6">
                        <c:v>6.0386666666666668</c:v>
                      </c:pt>
                      <c:pt idx="7">
                        <c:v>7.9883333333333333</c:v>
                      </c:pt>
                      <c:pt idx="8">
                        <c:v>10.090249999999999</c:v>
                      </c:pt>
                      <c:pt idx="9">
                        <c:v>12.045200000000001</c:v>
                      </c:pt>
                      <c:pt idx="10">
                        <c:v>13.969999999999999</c:v>
                      </c:pt>
                      <c:pt idx="11">
                        <c:v>16.0015</c:v>
                      </c:pt>
                      <c:pt idx="12">
                        <c:v>17.965250000000001</c:v>
                      </c:pt>
                      <c:pt idx="13">
                        <c:v>20.015000000000001</c:v>
                      </c:pt>
                      <c:pt idx="14">
                        <c:v>24.982499999999998</c:v>
                      </c:pt>
                      <c:pt idx="15">
                        <c:v>29.960666666666668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'一般ユーザ向け(提出)'!#REF!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8A3-42A9-B01C-40E8E64865F4}"/>
                  </c:ext>
                </c:extLst>
              </c15:ser>
            </c15:filteredScatterSeries>
          </c:ext>
        </c:extLst>
      </c:scatterChart>
      <c:valAx>
        <c:axId val="270890896"/>
        <c:scaling>
          <c:orientation val="minMax"/>
          <c:max val="3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BIZ UD明朝 Medium" panose="02020500000000000000" pitchFamily="17" charset="-128"/>
                    <a:ea typeface="BIZ UD明朝 Medium" panose="02020500000000000000" pitchFamily="17" charset="-128"/>
                    <a:cs typeface="Times New Roman" panose="02020603050405020304" pitchFamily="18" charset="0"/>
                  </a:defRPr>
                </a:pPr>
                <a:r>
                  <a:rPr lang="ja-JP" altLang="en-US" sz="1400" b="0" i="0" u="none" strike="noStrike" baseline="0">
                    <a:solidFill>
                      <a:srgbClr val="000000"/>
                    </a:solidFill>
                    <a:latin typeface="BIZ UD明朝 Medium" panose="02020500000000000000" pitchFamily="17" charset="-128"/>
                    <a:ea typeface="BIZ UD明朝 Medium" panose="02020500000000000000" pitchFamily="17" charset="-128"/>
                    <a:cs typeface="Times New Roman" panose="02020603050405020304" pitchFamily="18" charset="0"/>
                  </a:rPr>
                  <a:t>電流値 </a:t>
                </a:r>
                <a:r>
                  <a:rPr lang="en-US" altLang="ja-JP" sz="1400" b="0" i="0" u="none" strike="noStrike" baseline="0">
                    <a:solidFill>
                      <a:srgbClr val="000000"/>
                    </a:solidFill>
                    <a:latin typeface="BIZ UD明朝 Medium" panose="02020500000000000000" pitchFamily="17" charset="-128"/>
                    <a:ea typeface="BIZ UD明朝 Medium" panose="02020500000000000000" pitchFamily="17" charset="-128"/>
                    <a:cs typeface="Times New Roman" panose="02020603050405020304" pitchFamily="18" charset="0"/>
                  </a:rPr>
                  <a:t>Idc</a:t>
                </a:r>
                <a:r>
                  <a:rPr lang="ja-JP" altLang="en-US" sz="1400" b="0" i="0" u="none" strike="noStrike" baseline="0">
                    <a:solidFill>
                      <a:srgbClr val="000000"/>
                    </a:solidFill>
                    <a:latin typeface="BIZ UD明朝 Medium" panose="02020500000000000000" pitchFamily="17" charset="-128"/>
                    <a:ea typeface="BIZ UD明朝 Medium" panose="02020500000000000000" pitchFamily="17" charset="-128"/>
                    <a:cs typeface="Times New Roman" panose="02020603050405020304" pitchFamily="18" charset="0"/>
                  </a:rPr>
                  <a:t>[A]</a:t>
                </a:r>
              </a:p>
            </c:rich>
          </c:tx>
          <c:layout>
            <c:manualLayout>
              <c:xMode val="edge"/>
              <c:yMode val="edge"/>
              <c:x val="0.46250719493709458"/>
              <c:y val="0.948113379430150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BIZ UD明朝 Medium" panose="02020500000000000000" pitchFamily="17" charset="-128"/>
                <a:ea typeface="BIZ UD明朝 Medium" panose="02020500000000000000" pitchFamily="17" charset="-128"/>
                <a:cs typeface="ＭＳ Ｐゴシック"/>
              </a:defRPr>
            </a:pPr>
            <a:endParaRPr lang="ja-JP"/>
          </a:p>
        </c:txPr>
        <c:crossAx val="270891288"/>
        <c:crossesAt val="0"/>
        <c:crossBetween val="midCat"/>
        <c:majorUnit val="2"/>
      </c:valAx>
      <c:valAx>
        <c:axId val="270891288"/>
        <c:scaling>
          <c:orientation val="minMax"/>
          <c:max val="1500"/>
          <c:min val="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BIZ UD明朝 Medium" panose="02020500000000000000" pitchFamily="17" charset="-128"/>
                    <a:ea typeface="BIZ UD明朝 Medium" panose="02020500000000000000" pitchFamily="17" charset="-128"/>
                    <a:cs typeface="Times New Roman" panose="02020603050405020304" pitchFamily="18" charset="0"/>
                  </a:defRPr>
                </a:pPr>
                <a:r>
                  <a:rPr lang="ja-JP" altLang="en-US" sz="1400" b="0" i="0" baseline="0">
                    <a:effectLst/>
                    <a:latin typeface="BIZ UD明朝 Medium" panose="02020500000000000000" pitchFamily="17" charset="-128"/>
                    <a:ea typeface="BIZ UD明朝 Medium" panose="02020500000000000000" pitchFamily="17" charset="-128"/>
                    <a:cs typeface="Times New Roman" panose="02020603050405020304" pitchFamily="18" charset="0"/>
                  </a:rPr>
                  <a:t>回転速度</a:t>
                </a:r>
                <a:r>
                  <a:rPr lang="ja-JP" altLang="ja-JP" sz="1400" b="0" i="0" baseline="0">
                    <a:effectLst/>
                    <a:latin typeface="BIZ UD明朝 Medium" panose="02020500000000000000" pitchFamily="17" charset="-128"/>
                    <a:ea typeface="BIZ UD明朝 Medium" panose="02020500000000000000" pitchFamily="17" charset="-128"/>
                    <a:cs typeface="Times New Roman" panose="02020603050405020304" pitchFamily="18" charset="0"/>
                  </a:rPr>
                  <a:t> [rpm]</a:t>
                </a:r>
                <a:endParaRPr lang="ja-JP" altLang="ja-JP" sz="1400">
                  <a:effectLst/>
                  <a:latin typeface="BIZ UD明朝 Medium" panose="02020500000000000000" pitchFamily="17" charset="-128"/>
                  <a:ea typeface="BIZ UD明朝 Medium" panose="02020500000000000000" pitchFamily="17" charset="-128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5978042462202358E-3"/>
              <c:y val="0.3019057305336833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BIZ UD明朝 Medium" panose="02020500000000000000" pitchFamily="17" charset="-128"/>
                <a:ea typeface="BIZ UD明朝 Medium" panose="02020500000000000000" pitchFamily="17" charset="-128"/>
                <a:cs typeface="ＭＳ Ｐゴシック"/>
              </a:defRPr>
            </a:pPr>
            <a:endParaRPr lang="ja-JP"/>
          </a:p>
        </c:txPr>
        <c:crossAx val="270890896"/>
        <c:crosses val="autoZero"/>
        <c:crossBetween val="midCat"/>
        <c:majorUnit val="100"/>
      </c:valAx>
      <c:valAx>
        <c:axId val="270891680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270892072"/>
        <c:crosses val="autoZero"/>
        <c:crossBetween val="midCat"/>
      </c:valAx>
      <c:valAx>
        <c:axId val="270892072"/>
        <c:scaling>
          <c:orientation val="minMax"/>
          <c:max val="100"/>
          <c:min val="0"/>
        </c:scaling>
        <c:delete val="0"/>
        <c:axPos val="r"/>
        <c:numFmt formatCode="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BIZ UD明朝 Medium" panose="02020500000000000000" pitchFamily="17" charset="-128"/>
                <a:ea typeface="BIZ UD明朝 Medium" panose="02020500000000000000" pitchFamily="17" charset="-128"/>
                <a:cs typeface="ＭＳ Ｐゴシック"/>
              </a:defRPr>
            </a:pPr>
            <a:endParaRPr lang="ja-JP"/>
          </a:p>
        </c:txPr>
        <c:crossAx val="270891680"/>
        <c:crosses val="max"/>
        <c:crossBetween val="midCat"/>
      </c:valAx>
      <c:spPr>
        <a:solidFill>
          <a:srgbClr val="FFFF99"/>
        </a:solidFill>
        <a:ln w="12700">
          <a:solidFill>
            <a:sysClr val="windowText" lastClr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>
      <c:oddHeader>&amp;A</c:oddHeader>
      <c:oddFooter>- &amp;P -</c:oddFooter>
    </c:headerFooter>
    <c:pageMargins b="1" l="0.75" r="0.75" t="1" header="0.51200000000000001" footer="0.51200000000000001"/>
    <c:pageSetup paperSize="9" orientation="landscape" horizontalDpi="240" verticalDpi="240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 sz="1800" b="1" i="0" baseline="0">
                <a:effectLst/>
                <a:latin typeface="BIZ UD明朝 Medium" panose="02020500000000000000" pitchFamily="17" charset="-128"/>
                <a:ea typeface="BIZ UD明朝 Medium" panose="02020500000000000000" pitchFamily="17" charset="-128"/>
              </a:rPr>
              <a:t>モータ特性</a:t>
            </a:r>
            <a:endParaRPr lang="ja-JP" altLang="ja-JP" sz="1400">
              <a:effectLst/>
              <a:latin typeface="BIZ UD明朝 Medium" panose="02020500000000000000" pitchFamily="17" charset="-128"/>
              <a:ea typeface="BIZ UD明朝 Medium" panose="02020500000000000000" pitchFamily="17" charset="-128"/>
            </a:endParaRPr>
          </a:p>
        </c:rich>
      </c:tx>
      <c:layout>
        <c:manualLayout>
          <c:xMode val="edge"/>
          <c:yMode val="edge"/>
          <c:x val="0.45027206971331851"/>
          <c:y val="1.86796712139377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073888440144695E-2"/>
          <c:y val="0.10617760617760617"/>
          <c:w val="0.85171363739917927"/>
          <c:h val="0.76757439270708461"/>
        </c:manualLayout>
      </c:layout>
      <c:scatterChart>
        <c:scatterStyle val="lineMarker"/>
        <c:varyColors val="0"/>
        <c:ser>
          <c:idx val="0"/>
          <c:order val="2"/>
          <c:spPr>
            <a:ln w="25400">
              <a:solidFill>
                <a:srgbClr val="000099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99"/>
              </a:solidFill>
              <a:ln>
                <a:solidFill>
                  <a:srgbClr val="000099"/>
                </a:solidFill>
              </a:ln>
            </c:spPr>
          </c:marker>
          <c:xVal>
            <c:numRef>
              <c:f>ECO_LO!$D$16:$T$16</c:f>
              <c:numCache>
                <c:formatCode>0.0</c:formatCode>
                <c:ptCount val="17"/>
                <c:pt idx="0">
                  <c:v>0.71099999999999997</c:v>
                </c:pt>
                <c:pt idx="1">
                  <c:v>1.1346000000000001</c:v>
                </c:pt>
                <c:pt idx="2">
                  <c:v>2.1109999999999998</c:v>
                </c:pt>
                <c:pt idx="3">
                  <c:v>3.0973333333333337</c:v>
                </c:pt>
                <c:pt idx="4">
                  <c:v>3.9823999999999997</c:v>
                </c:pt>
                <c:pt idx="5">
                  <c:v>5.1633333333333331</c:v>
                </c:pt>
                <c:pt idx="6">
                  <c:v>6.1147499999999999</c:v>
                </c:pt>
                <c:pt idx="7">
                  <c:v>8.0097499999999986</c:v>
                </c:pt>
                <c:pt idx="8">
                  <c:v>10.007249999999999</c:v>
                </c:pt>
                <c:pt idx="9">
                  <c:v>12.0915</c:v>
                </c:pt>
                <c:pt idx="10">
                  <c:v>14.148333333333333</c:v>
                </c:pt>
                <c:pt idx="11">
                  <c:v>16.283999999999999</c:v>
                </c:pt>
                <c:pt idx="12">
                  <c:v>17.968500000000002</c:v>
                </c:pt>
                <c:pt idx="13">
                  <c:v>20.119666666666667</c:v>
                </c:pt>
                <c:pt idx="14">
                  <c:v>24.981400000000001</c:v>
                </c:pt>
                <c:pt idx="15">
                  <c:v>30.236000000000001</c:v>
                </c:pt>
              </c:numCache>
            </c:numRef>
          </c:xVal>
          <c:yVal>
            <c:numRef>
              <c:f>ECO_LO!$D$18:$T$18</c:f>
              <c:numCache>
                <c:formatCode>0.0</c:formatCode>
                <c:ptCount val="17"/>
                <c:pt idx="0">
                  <c:v>791</c:v>
                </c:pt>
                <c:pt idx="1">
                  <c:v>790.57999999999993</c:v>
                </c:pt>
                <c:pt idx="2">
                  <c:v>784.4</c:v>
                </c:pt>
                <c:pt idx="3">
                  <c:v>780</c:v>
                </c:pt>
                <c:pt idx="4">
                  <c:v>776.18</c:v>
                </c:pt>
                <c:pt idx="5">
                  <c:v>771.59999999999991</c:v>
                </c:pt>
                <c:pt idx="6">
                  <c:v>767.125</c:v>
                </c:pt>
                <c:pt idx="7">
                  <c:v>758.82500000000005</c:v>
                </c:pt>
                <c:pt idx="8">
                  <c:v>751.1</c:v>
                </c:pt>
                <c:pt idx="9">
                  <c:v>742.3</c:v>
                </c:pt>
                <c:pt idx="10">
                  <c:v>733.6</c:v>
                </c:pt>
                <c:pt idx="11">
                  <c:v>726.2</c:v>
                </c:pt>
                <c:pt idx="12">
                  <c:v>718.125</c:v>
                </c:pt>
                <c:pt idx="13">
                  <c:v>710</c:v>
                </c:pt>
                <c:pt idx="14">
                  <c:v>691.81999999999994</c:v>
                </c:pt>
                <c:pt idx="15">
                  <c:v>673.8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86-4E93-9CF6-AC39142C2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890896"/>
        <c:axId val="270891288"/>
      </c:scatterChart>
      <c:scatterChart>
        <c:scatterStyle val="lineMarker"/>
        <c:varyColors val="0"/>
        <c:ser>
          <c:idx val="2"/>
          <c:order val="0"/>
          <c:tx>
            <c:strRef>
              <c:f>ECO_LO!$B$19</c:f>
              <c:strCache>
                <c:ptCount val="1"/>
                <c:pt idx="0">
                  <c:v>トルク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FF33CC"/>
              </a:solidFill>
              <a:ln>
                <a:solidFill>
                  <a:srgbClr val="FF33CC"/>
                </a:solidFill>
              </a:ln>
            </c:spPr>
          </c:marker>
          <c:xVal>
            <c:numRef>
              <c:f>ECO_LO!$D$16:$T$16</c:f>
              <c:numCache>
                <c:formatCode>0.0</c:formatCode>
                <c:ptCount val="17"/>
                <c:pt idx="0">
                  <c:v>0.71099999999999997</c:v>
                </c:pt>
                <c:pt idx="1">
                  <c:v>1.1346000000000001</c:v>
                </c:pt>
                <c:pt idx="2">
                  <c:v>2.1109999999999998</c:v>
                </c:pt>
                <c:pt idx="3">
                  <c:v>3.0973333333333337</c:v>
                </c:pt>
                <c:pt idx="4">
                  <c:v>3.9823999999999997</c:v>
                </c:pt>
                <c:pt idx="5">
                  <c:v>5.1633333333333331</c:v>
                </c:pt>
                <c:pt idx="6">
                  <c:v>6.1147499999999999</c:v>
                </c:pt>
                <c:pt idx="7">
                  <c:v>8.0097499999999986</c:v>
                </c:pt>
                <c:pt idx="8">
                  <c:v>10.007249999999999</c:v>
                </c:pt>
                <c:pt idx="9">
                  <c:v>12.0915</c:v>
                </c:pt>
                <c:pt idx="10">
                  <c:v>14.148333333333333</c:v>
                </c:pt>
                <c:pt idx="11">
                  <c:v>16.283999999999999</c:v>
                </c:pt>
                <c:pt idx="12">
                  <c:v>17.968500000000002</c:v>
                </c:pt>
                <c:pt idx="13">
                  <c:v>20.119666666666667</c:v>
                </c:pt>
                <c:pt idx="14">
                  <c:v>24.981400000000001</c:v>
                </c:pt>
                <c:pt idx="15">
                  <c:v>30.236000000000001</c:v>
                </c:pt>
              </c:numCache>
            </c:numRef>
          </c:xVal>
          <c:yVal>
            <c:numRef>
              <c:f>ECO_LO!$D$19:$T$19</c:f>
              <c:numCache>
                <c:formatCode>0.0</c:formatCode>
                <c:ptCount val="17"/>
                <c:pt idx="0">
                  <c:v>0</c:v>
                </c:pt>
                <c:pt idx="1">
                  <c:v>0.58290650000000011</c:v>
                </c:pt>
                <c:pt idx="2">
                  <c:v>1.7079065</c:v>
                </c:pt>
                <c:pt idx="3">
                  <c:v>2.9929065000000001</c:v>
                </c:pt>
                <c:pt idx="4">
                  <c:v>4.1289065000000011</c:v>
                </c:pt>
                <c:pt idx="5">
                  <c:v>5.5762398333333332</c:v>
                </c:pt>
                <c:pt idx="6">
                  <c:v>6.8304064999999996</c:v>
                </c:pt>
                <c:pt idx="7">
                  <c:v>9.3454064999999993</c:v>
                </c:pt>
                <c:pt idx="8">
                  <c:v>11.9829065</c:v>
                </c:pt>
                <c:pt idx="9">
                  <c:v>14.7679065</c:v>
                </c:pt>
                <c:pt idx="10">
                  <c:v>17.586239833333334</c:v>
                </c:pt>
                <c:pt idx="11">
                  <c:v>20.3529065</c:v>
                </c:pt>
                <c:pt idx="12">
                  <c:v>22.960406500000001</c:v>
                </c:pt>
                <c:pt idx="13">
                  <c:v>25.939573166666666</c:v>
                </c:pt>
                <c:pt idx="14">
                  <c:v>33.022906499999998</c:v>
                </c:pt>
                <c:pt idx="15">
                  <c:v>40.702906499999997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86-4E93-9CF6-AC39142C26D0}"/>
            </c:ext>
          </c:extLst>
        </c:ser>
        <c:ser>
          <c:idx val="4"/>
          <c:order val="4"/>
          <c:tx>
            <c:strRef>
              <c:f>ECO_LO!$B$21</c:f>
              <c:strCache>
                <c:ptCount val="1"/>
                <c:pt idx="0">
                  <c:v>総合効率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ECO_LO!$D$16:$T$16</c:f>
              <c:numCache>
                <c:formatCode>0.0</c:formatCode>
                <c:ptCount val="17"/>
                <c:pt idx="0">
                  <c:v>0.71099999999999997</c:v>
                </c:pt>
                <c:pt idx="1">
                  <c:v>1.1346000000000001</c:v>
                </c:pt>
                <c:pt idx="2">
                  <c:v>2.1109999999999998</c:v>
                </c:pt>
                <c:pt idx="3">
                  <c:v>3.0973333333333337</c:v>
                </c:pt>
                <c:pt idx="4">
                  <c:v>3.9823999999999997</c:v>
                </c:pt>
                <c:pt idx="5">
                  <c:v>5.1633333333333331</c:v>
                </c:pt>
                <c:pt idx="6">
                  <c:v>6.1147499999999999</c:v>
                </c:pt>
                <c:pt idx="7">
                  <c:v>8.0097499999999986</c:v>
                </c:pt>
                <c:pt idx="8">
                  <c:v>10.007249999999999</c:v>
                </c:pt>
                <c:pt idx="9">
                  <c:v>12.0915</c:v>
                </c:pt>
                <c:pt idx="10">
                  <c:v>14.148333333333333</c:v>
                </c:pt>
                <c:pt idx="11">
                  <c:v>16.283999999999999</c:v>
                </c:pt>
                <c:pt idx="12">
                  <c:v>17.968500000000002</c:v>
                </c:pt>
                <c:pt idx="13">
                  <c:v>20.119666666666667</c:v>
                </c:pt>
                <c:pt idx="14">
                  <c:v>24.981400000000001</c:v>
                </c:pt>
                <c:pt idx="15">
                  <c:v>30.236000000000001</c:v>
                </c:pt>
              </c:numCache>
            </c:numRef>
          </c:xVal>
          <c:yVal>
            <c:numRef>
              <c:f>ECO_LO!$D$21:$T$21</c:f>
              <c:numCache>
                <c:formatCode>0.0</c:formatCode>
                <c:ptCount val="17"/>
                <c:pt idx="0">
                  <c:v>0</c:v>
                </c:pt>
                <c:pt idx="1">
                  <c:v>41.75328495396576</c:v>
                </c:pt>
                <c:pt idx="2">
                  <c:v>65.130527470214787</c:v>
                </c:pt>
                <c:pt idx="3">
                  <c:v>77.264481638846277</c:v>
                </c:pt>
                <c:pt idx="4">
                  <c:v>82.482111744331633</c:v>
                </c:pt>
                <c:pt idx="5">
                  <c:v>85.416115587641457</c:v>
                </c:pt>
                <c:pt idx="6">
                  <c:v>87.845990199018061</c:v>
                </c:pt>
                <c:pt idx="7">
                  <c:v>90.782443657931012</c:v>
                </c:pt>
                <c:pt idx="8">
                  <c:v>92.150528692223943</c:v>
                </c:pt>
                <c:pt idx="9">
                  <c:v>92.920305099843077</c:v>
                </c:pt>
                <c:pt idx="10">
                  <c:v>93.485229034530235</c:v>
                </c:pt>
                <c:pt idx="11">
                  <c:v>92.999301540302199</c:v>
                </c:pt>
                <c:pt idx="12">
                  <c:v>94.050089870802253</c:v>
                </c:pt>
                <c:pt idx="13">
                  <c:v>93.847752665501531</c:v>
                </c:pt>
                <c:pt idx="14">
                  <c:v>93.738698264047599</c:v>
                </c:pt>
                <c:pt idx="15">
                  <c:v>92.96316575457432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C86-4E93-9CF6-AC39142C2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891680"/>
        <c:axId val="270892072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1"/>
                <c:tx>
                  <c:strRef>
                    <c:extLst>
                      <c:ext uri="{02D57815-91ED-43cb-92C2-25804820EDAC}">
                        <c15:formulaRef>
                          <c15:sqref>'一般ユーザ向け(提出)'!#REF!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5400">
                    <a:solidFill>
                      <a:schemeClr val="accent6">
                        <a:lumMod val="75000"/>
                      </a:schemeClr>
                    </a:solidFill>
                    <a:prstDash val="solid"/>
                  </a:ln>
                </c:spPr>
                <c:marker>
                  <c:symbol val="circle"/>
                  <c:size val="7"/>
                  <c:spPr>
                    <a:solidFill>
                      <a:schemeClr val="accent6">
                        <a:lumMod val="75000"/>
                      </a:schemeClr>
                    </a:solidFill>
                    <a:ln>
                      <a:solidFill>
                        <a:schemeClr val="accent6">
                          <a:lumMod val="75000"/>
                        </a:schemeClr>
                      </a:solidFill>
                    </a:ln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ECO_LO!$D$16:$S$16</c15:sqref>
                        </c15:formulaRef>
                      </c:ext>
                    </c:extLst>
                    <c:numCache>
                      <c:formatCode>0.0</c:formatCode>
                      <c:ptCount val="16"/>
                      <c:pt idx="0">
                        <c:v>0.71099999999999997</c:v>
                      </c:pt>
                      <c:pt idx="1">
                        <c:v>1.1346000000000001</c:v>
                      </c:pt>
                      <c:pt idx="2">
                        <c:v>2.1109999999999998</c:v>
                      </c:pt>
                      <c:pt idx="3">
                        <c:v>3.0973333333333337</c:v>
                      </c:pt>
                      <c:pt idx="4">
                        <c:v>3.9823999999999997</c:v>
                      </c:pt>
                      <c:pt idx="5">
                        <c:v>5.1633333333333331</c:v>
                      </c:pt>
                      <c:pt idx="6">
                        <c:v>6.1147499999999999</c:v>
                      </c:pt>
                      <c:pt idx="7">
                        <c:v>8.0097499999999986</c:v>
                      </c:pt>
                      <c:pt idx="8">
                        <c:v>10.007249999999999</c:v>
                      </c:pt>
                      <c:pt idx="9">
                        <c:v>12.0915</c:v>
                      </c:pt>
                      <c:pt idx="10">
                        <c:v>14.148333333333333</c:v>
                      </c:pt>
                      <c:pt idx="11">
                        <c:v>16.283999999999999</c:v>
                      </c:pt>
                      <c:pt idx="12">
                        <c:v>17.968500000000002</c:v>
                      </c:pt>
                      <c:pt idx="13">
                        <c:v>20.119666666666667</c:v>
                      </c:pt>
                      <c:pt idx="14">
                        <c:v>24.981400000000001</c:v>
                      </c:pt>
                      <c:pt idx="15">
                        <c:v>30.236000000000001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'一般ユーザ向け(提出)'!#REF!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8C86-4E93-9CF6-AC39142C26D0}"/>
                  </c:ext>
                </c:extLst>
              </c15:ser>
            </c15:filteredScatterSeries>
            <c15:filteredScatterSeries>
              <c15:ser>
                <c:idx val="1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'一般ユーザ向け(提出)'!#REF!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>
                    <a:solidFill>
                      <a:srgbClr val="00B050"/>
                    </a:solidFill>
                  </a:ln>
                </c:spPr>
                <c:marker>
                  <c:symbol val="circle"/>
                  <c:size val="7"/>
                  <c:spPr>
                    <a:solidFill>
                      <a:srgbClr val="00B050"/>
                    </a:solidFill>
                    <a:ln>
                      <a:solidFill>
                        <a:srgbClr val="00B050"/>
                      </a:solidFill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ECO_LO!$D$16:$S$16</c15:sqref>
                        </c15:formulaRef>
                      </c:ext>
                    </c:extLst>
                    <c:numCache>
                      <c:formatCode>0.0</c:formatCode>
                      <c:ptCount val="16"/>
                      <c:pt idx="0">
                        <c:v>0.71099999999999997</c:v>
                      </c:pt>
                      <c:pt idx="1">
                        <c:v>1.1346000000000001</c:v>
                      </c:pt>
                      <c:pt idx="2">
                        <c:v>2.1109999999999998</c:v>
                      </c:pt>
                      <c:pt idx="3">
                        <c:v>3.0973333333333337</c:v>
                      </c:pt>
                      <c:pt idx="4">
                        <c:v>3.9823999999999997</c:v>
                      </c:pt>
                      <c:pt idx="5">
                        <c:v>5.1633333333333331</c:v>
                      </c:pt>
                      <c:pt idx="6">
                        <c:v>6.1147499999999999</c:v>
                      </c:pt>
                      <c:pt idx="7">
                        <c:v>8.0097499999999986</c:v>
                      </c:pt>
                      <c:pt idx="8">
                        <c:v>10.007249999999999</c:v>
                      </c:pt>
                      <c:pt idx="9">
                        <c:v>12.0915</c:v>
                      </c:pt>
                      <c:pt idx="10">
                        <c:v>14.148333333333333</c:v>
                      </c:pt>
                      <c:pt idx="11">
                        <c:v>16.283999999999999</c:v>
                      </c:pt>
                      <c:pt idx="12">
                        <c:v>17.968500000000002</c:v>
                      </c:pt>
                      <c:pt idx="13">
                        <c:v>20.119666666666667</c:v>
                      </c:pt>
                      <c:pt idx="14">
                        <c:v>24.981400000000001</c:v>
                      </c:pt>
                      <c:pt idx="15">
                        <c:v>30.236000000000001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'一般ユーザ向け(提出)'!#REF!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C86-4E93-9CF6-AC39142C26D0}"/>
                  </c:ext>
                </c:extLst>
              </c15:ser>
            </c15:filteredScatterSeries>
          </c:ext>
        </c:extLst>
      </c:scatterChart>
      <c:valAx>
        <c:axId val="270890896"/>
        <c:scaling>
          <c:orientation val="minMax"/>
          <c:max val="3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BIZ UD明朝 Medium" panose="02020500000000000000" pitchFamily="17" charset="-128"/>
                    <a:ea typeface="BIZ UD明朝 Medium" panose="02020500000000000000" pitchFamily="17" charset="-128"/>
                    <a:cs typeface="Times New Roman" panose="02020603050405020304" pitchFamily="18" charset="0"/>
                  </a:defRPr>
                </a:pPr>
                <a:r>
                  <a:rPr lang="ja-JP" altLang="en-US" sz="1400" b="0" i="0" u="none" strike="noStrike" baseline="0">
                    <a:solidFill>
                      <a:srgbClr val="000000"/>
                    </a:solidFill>
                    <a:latin typeface="BIZ UD明朝 Medium" panose="02020500000000000000" pitchFamily="17" charset="-128"/>
                    <a:ea typeface="BIZ UD明朝 Medium" panose="02020500000000000000" pitchFamily="17" charset="-128"/>
                    <a:cs typeface="Times New Roman" panose="02020603050405020304" pitchFamily="18" charset="0"/>
                  </a:rPr>
                  <a:t>電流値 </a:t>
                </a:r>
                <a:r>
                  <a:rPr lang="en-US" altLang="ja-JP" sz="1400" b="0" i="0" u="none" strike="noStrike" baseline="0">
                    <a:solidFill>
                      <a:srgbClr val="000000"/>
                    </a:solidFill>
                    <a:latin typeface="BIZ UD明朝 Medium" panose="02020500000000000000" pitchFamily="17" charset="-128"/>
                    <a:ea typeface="BIZ UD明朝 Medium" panose="02020500000000000000" pitchFamily="17" charset="-128"/>
                    <a:cs typeface="Times New Roman" panose="02020603050405020304" pitchFamily="18" charset="0"/>
                  </a:rPr>
                  <a:t>Idc</a:t>
                </a:r>
                <a:r>
                  <a:rPr lang="ja-JP" altLang="en-US" sz="1400" b="0" i="0" u="none" strike="noStrike" baseline="0">
                    <a:solidFill>
                      <a:srgbClr val="000000"/>
                    </a:solidFill>
                    <a:latin typeface="BIZ UD明朝 Medium" panose="02020500000000000000" pitchFamily="17" charset="-128"/>
                    <a:ea typeface="BIZ UD明朝 Medium" panose="02020500000000000000" pitchFamily="17" charset="-128"/>
                    <a:cs typeface="Times New Roman" panose="02020603050405020304" pitchFamily="18" charset="0"/>
                  </a:rPr>
                  <a:t>[A]</a:t>
                </a:r>
              </a:p>
            </c:rich>
          </c:tx>
          <c:layout>
            <c:manualLayout>
              <c:xMode val="edge"/>
              <c:yMode val="edge"/>
              <c:x val="0.46250719493709458"/>
              <c:y val="0.948113379430150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BIZ UD明朝 Medium" panose="02020500000000000000" pitchFamily="17" charset="-128"/>
                <a:ea typeface="BIZ UD明朝 Medium" panose="02020500000000000000" pitchFamily="17" charset="-128"/>
                <a:cs typeface="ＭＳ Ｐゴシック"/>
              </a:defRPr>
            </a:pPr>
            <a:endParaRPr lang="ja-JP"/>
          </a:p>
        </c:txPr>
        <c:crossAx val="270891288"/>
        <c:crossesAt val="0"/>
        <c:crossBetween val="midCat"/>
        <c:majorUnit val="2"/>
      </c:valAx>
      <c:valAx>
        <c:axId val="270891288"/>
        <c:scaling>
          <c:orientation val="minMax"/>
          <c:max val="1500"/>
          <c:min val="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BIZ UD明朝 Medium" panose="02020500000000000000" pitchFamily="17" charset="-128"/>
                    <a:ea typeface="BIZ UD明朝 Medium" panose="02020500000000000000" pitchFamily="17" charset="-128"/>
                    <a:cs typeface="Times New Roman" panose="02020603050405020304" pitchFamily="18" charset="0"/>
                  </a:defRPr>
                </a:pPr>
                <a:r>
                  <a:rPr lang="ja-JP" altLang="en-US" sz="1400" b="0" i="0" baseline="0">
                    <a:effectLst/>
                    <a:latin typeface="BIZ UD明朝 Medium" panose="02020500000000000000" pitchFamily="17" charset="-128"/>
                    <a:ea typeface="BIZ UD明朝 Medium" panose="02020500000000000000" pitchFamily="17" charset="-128"/>
                    <a:cs typeface="Times New Roman" panose="02020603050405020304" pitchFamily="18" charset="0"/>
                  </a:rPr>
                  <a:t>回転速度</a:t>
                </a:r>
                <a:r>
                  <a:rPr lang="ja-JP" altLang="ja-JP" sz="1400" b="0" i="0" baseline="0">
                    <a:effectLst/>
                    <a:latin typeface="BIZ UD明朝 Medium" panose="02020500000000000000" pitchFamily="17" charset="-128"/>
                    <a:ea typeface="BIZ UD明朝 Medium" panose="02020500000000000000" pitchFamily="17" charset="-128"/>
                    <a:cs typeface="Times New Roman" panose="02020603050405020304" pitchFamily="18" charset="0"/>
                  </a:rPr>
                  <a:t> [rpm]</a:t>
                </a:r>
                <a:endParaRPr lang="ja-JP" altLang="ja-JP" sz="1400">
                  <a:effectLst/>
                  <a:latin typeface="BIZ UD明朝 Medium" panose="02020500000000000000" pitchFamily="17" charset="-128"/>
                  <a:ea typeface="BIZ UD明朝 Medium" panose="02020500000000000000" pitchFamily="17" charset="-128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5978042462202358E-3"/>
              <c:y val="0.3019057305336833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BIZ UD明朝 Medium" panose="02020500000000000000" pitchFamily="17" charset="-128"/>
                <a:ea typeface="BIZ UD明朝 Medium" panose="02020500000000000000" pitchFamily="17" charset="-128"/>
                <a:cs typeface="ＭＳ Ｐゴシック"/>
              </a:defRPr>
            </a:pPr>
            <a:endParaRPr lang="ja-JP"/>
          </a:p>
        </c:txPr>
        <c:crossAx val="270890896"/>
        <c:crosses val="autoZero"/>
        <c:crossBetween val="midCat"/>
        <c:majorUnit val="100"/>
      </c:valAx>
      <c:valAx>
        <c:axId val="270891680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270892072"/>
        <c:crosses val="autoZero"/>
        <c:crossBetween val="midCat"/>
      </c:valAx>
      <c:valAx>
        <c:axId val="270892072"/>
        <c:scaling>
          <c:orientation val="minMax"/>
          <c:max val="100"/>
          <c:min val="0"/>
        </c:scaling>
        <c:delete val="0"/>
        <c:axPos val="r"/>
        <c:numFmt formatCode="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BIZ UD明朝 Medium" panose="02020500000000000000" pitchFamily="17" charset="-128"/>
                <a:ea typeface="BIZ UD明朝 Medium" panose="02020500000000000000" pitchFamily="17" charset="-128"/>
                <a:cs typeface="ＭＳ Ｐゴシック"/>
              </a:defRPr>
            </a:pPr>
            <a:endParaRPr lang="ja-JP"/>
          </a:p>
        </c:txPr>
        <c:crossAx val="270891680"/>
        <c:crosses val="max"/>
        <c:crossBetween val="midCat"/>
      </c:valAx>
      <c:spPr>
        <a:solidFill>
          <a:srgbClr val="FFFF99"/>
        </a:solidFill>
        <a:ln w="12700">
          <a:solidFill>
            <a:sysClr val="windowText" lastClr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>
      <c:oddHeader>&amp;A</c:oddHeader>
      <c:oddFooter>- &amp;P -</c:oddFooter>
    </c:headerFooter>
    <c:pageMargins b="1" l="0.75" r="0.75" t="1" header="0.51200000000000001" footer="0.51200000000000001"/>
    <c:pageSetup paperSize="9" orientation="landscape" horizontalDpi="240" verticalDpi="240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BIZ UD明朝 Medium" panose="02020500000000000000" pitchFamily="17" charset="-128"/>
                <a:ea typeface="BIZ UD明朝 Medium" panose="02020500000000000000" pitchFamily="17" charset="-128"/>
                <a:cs typeface="ＭＳ Ｐゴシック"/>
              </a:defRPr>
            </a:pPr>
            <a:r>
              <a:rPr lang="ja-JP" altLang="en-US" sz="1800" b="1" i="0" baseline="0">
                <a:effectLst/>
                <a:latin typeface="BIZ UD明朝 Medium" panose="02020500000000000000" pitchFamily="17" charset="-128"/>
                <a:ea typeface="BIZ UD明朝 Medium" panose="02020500000000000000" pitchFamily="17" charset="-128"/>
              </a:rPr>
              <a:t>モータ特性</a:t>
            </a:r>
            <a:endParaRPr lang="ja-JP" altLang="ja-JP" sz="1400">
              <a:effectLst/>
              <a:latin typeface="BIZ UD明朝 Medium" panose="02020500000000000000" pitchFamily="17" charset="-128"/>
              <a:ea typeface="BIZ UD明朝 Medium" panose="02020500000000000000" pitchFamily="17" charset="-128"/>
            </a:endParaRPr>
          </a:p>
        </c:rich>
      </c:tx>
      <c:layout>
        <c:manualLayout>
          <c:xMode val="edge"/>
          <c:yMode val="edge"/>
          <c:x val="0.45027206971331851"/>
          <c:y val="1.86796712139377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073888440144695E-2"/>
          <c:y val="0.10617760617760617"/>
          <c:w val="0.85171363739917927"/>
          <c:h val="0.76757439270708461"/>
        </c:manualLayout>
      </c:layout>
      <c:scatterChart>
        <c:scatterStyle val="lineMarker"/>
        <c:varyColors val="0"/>
        <c:ser>
          <c:idx val="0"/>
          <c:order val="2"/>
          <c:spPr>
            <a:ln w="25400">
              <a:solidFill>
                <a:srgbClr val="000099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99"/>
              </a:solidFill>
              <a:ln>
                <a:solidFill>
                  <a:srgbClr val="000099"/>
                </a:solidFill>
              </a:ln>
            </c:spPr>
          </c:marker>
          <c:xVal>
            <c:numRef>
              <c:f>ECO_HI!$D$16:$T$16</c:f>
              <c:numCache>
                <c:formatCode>0.0</c:formatCode>
                <c:ptCount val="17"/>
                <c:pt idx="0">
                  <c:v>1.2535000000000001</c:v>
                </c:pt>
                <c:pt idx="1">
                  <c:v>1.9584999999999997</c:v>
                </c:pt>
                <c:pt idx="2">
                  <c:v>2.9144000000000001</c:v>
                </c:pt>
                <c:pt idx="3">
                  <c:v>3.7735000000000003</c:v>
                </c:pt>
                <c:pt idx="4">
                  <c:v>4.9805999999999999</c:v>
                </c:pt>
                <c:pt idx="5">
                  <c:v>6.0902500000000002</c:v>
                </c:pt>
                <c:pt idx="6">
                  <c:v>7.8933999999999997</c:v>
                </c:pt>
                <c:pt idx="7">
                  <c:v>10.0198</c:v>
                </c:pt>
                <c:pt idx="8">
                  <c:v>11.9695</c:v>
                </c:pt>
                <c:pt idx="9">
                  <c:v>13.892000000000001</c:v>
                </c:pt>
                <c:pt idx="10">
                  <c:v>16.067600000000002</c:v>
                </c:pt>
                <c:pt idx="11">
                  <c:v>18.087</c:v>
                </c:pt>
                <c:pt idx="12">
                  <c:v>20.020499999999998</c:v>
                </c:pt>
                <c:pt idx="13">
                  <c:v>24.92925</c:v>
                </c:pt>
                <c:pt idx="14">
                  <c:v>29.936333333333334</c:v>
                </c:pt>
              </c:numCache>
            </c:numRef>
          </c:xVal>
          <c:yVal>
            <c:numRef>
              <c:f>ECO_HI!$D$18:$T$18</c:f>
              <c:numCache>
                <c:formatCode>0.0</c:formatCode>
                <c:ptCount val="17"/>
                <c:pt idx="0">
                  <c:v>1123</c:v>
                </c:pt>
                <c:pt idx="1">
                  <c:v>1122.25</c:v>
                </c:pt>
                <c:pt idx="2">
                  <c:v>1115.98</c:v>
                </c:pt>
                <c:pt idx="3">
                  <c:v>1111.3499999999999</c:v>
                </c:pt>
                <c:pt idx="4">
                  <c:v>1106.7800000000002</c:v>
                </c:pt>
                <c:pt idx="5">
                  <c:v>1101.425</c:v>
                </c:pt>
                <c:pt idx="6">
                  <c:v>1094.2599999999998</c:v>
                </c:pt>
                <c:pt idx="7">
                  <c:v>1084.22</c:v>
                </c:pt>
                <c:pt idx="8">
                  <c:v>1074.675</c:v>
                </c:pt>
                <c:pt idx="9">
                  <c:v>1066.8</c:v>
                </c:pt>
                <c:pt idx="10">
                  <c:v>1057.3200000000002</c:v>
                </c:pt>
                <c:pt idx="11">
                  <c:v>1048.2</c:v>
                </c:pt>
                <c:pt idx="12">
                  <c:v>1040.4000000000001</c:v>
                </c:pt>
                <c:pt idx="13">
                  <c:v>1018</c:v>
                </c:pt>
                <c:pt idx="14">
                  <c:v>997.29999999999984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73-48FD-A535-54C9D9238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890896"/>
        <c:axId val="270891288"/>
      </c:scatterChart>
      <c:scatterChart>
        <c:scatterStyle val="lineMarker"/>
        <c:varyColors val="0"/>
        <c:ser>
          <c:idx val="2"/>
          <c:order val="0"/>
          <c:tx>
            <c:strRef>
              <c:f>ECO_HI!$B$19</c:f>
              <c:strCache>
                <c:ptCount val="1"/>
                <c:pt idx="0">
                  <c:v>トルク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FF33CC"/>
              </a:solidFill>
              <a:ln>
                <a:solidFill>
                  <a:srgbClr val="FF33CC"/>
                </a:solidFill>
              </a:ln>
            </c:spPr>
          </c:marker>
          <c:xVal>
            <c:numRef>
              <c:f>ECO_HI!$D$16:$T$16</c:f>
              <c:numCache>
                <c:formatCode>0.0</c:formatCode>
                <c:ptCount val="17"/>
                <c:pt idx="0">
                  <c:v>1.2535000000000001</c:v>
                </c:pt>
                <c:pt idx="1">
                  <c:v>1.9584999999999997</c:v>
                </c:pt>
                <c:pt idx="2">
                  <c:v>2.9144000000000001</c:v>
                </c:pt>
                <c:pt idx="3">
                  <c:v>3.7735000000000003</c:v>
                </c:pt>
                <c:pt idx="4">
                  <c:v>4.9805999999999999</c:v>
                </c:pt>
                <c:pt idx="5">
                  <c:v>6.0902500000000002</c:v>
                </c:pt>
                <c:pt idx="6">
                  <c:v>7.8933999999999997</c:v>
                </c:pt>
                <c:pt idx="7">
                  <c:v>10.0198</c:v>
                </c:pt>
                <c:pt idx="8">
                  <c:v>11.9695</c:v>
                </c:pt>
                <c:pt idx="9">
                  <c:v>13.892000000000001</c:v>
                </c:pt>
                <c:pt idx="10">
                  <c:v>16.067600000000002</c:v>
                </c:pt>
                <c:pt idx="11">
                  <c:v>18.087</c:v>
                </c:pt>
                <c:pt idx="12">
                  <c:v>20.020499999999998</c:v>
                </c:pt>
                <c:pt idx="13">
                  <c:v>24.92925</c:v>
                </c:pt>
                <c:pt idx="14">
                  <c:v>29.936333333333334</c:v>
                </c:pt>
              </c:numCache>
            </c:numRef>
          </c:xVal>
          <c:yVal>
            <c:numRef>
              <c:f>ECO_HI!$D$19:$T$19</c:f>
              <c:numCache>
                <c:formatCode>0.0</c:formatCode>
                <c:ptCount val="17"/>
                <c:pt idx="0">
                  <c:v>0</c:v>
                </c:pt>
                <c:pt idx="1">
                  <c:v>0.62892884999999987</c:v>
                </c:pt>
                <c:pt idx="2">
                  <c:v>1.4934288499999997</c:v>
                </c:pt>
                <c:pt idx="3">
                  <c:v>2.2864288500000001</c:v>
                </c:pt>
                <c:pt idx="4">
                  <c:v>3.3214288500000002</c:v>
                </c:pt>
                <c:pt idx="5">
                  <c:v>4.3589288500000007</c:v>
                </c:pt>
                <c:pt idx="6">
                  <c:v>5.9814288499999995</c:v>
                </c:pt>
                <c:pt idx="7">
                  <c:v>7.8794288499999992</c:v>
                </c:pt>
                <c:pt idx="8">
                  <c:v>9.7189288500000011</c:v>
                </c:pt>
                <c:pt idx="9">
                  <c:v>11.504762183333334</c:v>
                </c:pt>
                <c:pt idx="10">
                  <c:v>13.513428850000002</c:v>
                </c:pt>
                <c:pt idx="11">
                  <c:v>15.408095516666668</c:v>
                </c:pt>
                <c:pt idx="12">
                  <c:v>17.296428849999998</c:v>
                </c:pt>
                <c:pt idx="13">
                  <c:v>22.166428849999999</c:v>
                </c:pt>
                <c:pt idx="14">
                  <c:v>27.224762183333333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73-48FD-A535-54C9D92380D7}"/>
            </c:ext>
          </c:extLst>
        </c:ser>
        <c:ser>
          <c:idx val="4"/>
          <c:order val="4"/>
          <c:tx>
            <c:strRef>
              <c:f>ECO_HI!$B$21</c:f>
              <c:strCache>
                <c:ptCount val="1"/>
                <c:pt idx="0">
                  <c:v>総合効率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ECO_HI!$D$16:$T$16</c:f>
              <c:numCache>
                <c:formatCode>0.0</c:formatCode>
                <c:ptCount val="17"/>
                <c:pt idx="0">
                  <c:v>1.2535000000000001</c:v>
                </c:pt>
                <c:pt idx="1">
                  <c:v>1.9584999999999997</c:v>
                </c:pt>
                <c:pt idx="2">
                  <c:v>2.9144000000000001</c:v>
                </c:pt>
                <c:pt idx="3">
                  <c:v>3.7735000000000003</c:v>
                </c:pt>
                <c:pt idx="4">
                  <c:v>4.9805999999999999</c:v>
                </c:pt>
                <c:pt idx="5">
                  <c:v>6.0902500000000002</c:v>
                </c:pt>
                <c:pt idx="6">
                  <c:v>7.8933999999999997</c:v>
                </c:pt>
                <c:pt idx="7">
                  <c:v>10.0198</c:v>
                </c:pt>
                <c:pt idx="8">
                  <c:v>11.9695</c:v>
                </c:pt>
                <c:pt idx="9">
                  <c:v>13.892000000000001</c:v>
                </c:pt>
                <c:pt idx="10">
                  <c:v>16.067600000000002</c:v>
                </c:pt>
                <c:pt idx="11">
                  <c:v>18.087</c:v>
                </c:pt>
                <c:pt idx="12">
                  <c:v>20.020499999999998</c:v>
                </c:pt>
                <c:pt idx="13">
                  <c:v>24.92925</c:v>
                </c:pt>
                <c:pt idx="14">
                  <c:v>29.936333333333334</c:v>
                </c:pt>
              </c:numCache>
            </c:numRef>
          </c:xVal>
          <c:yVal>
            <c:numRef>
              <c:f>ECO_HI!$D$21:$T$21</c:f>
              <c:numCache>
                <c:formatCode>0.0</c:formatCode>
                <c:ptCount val="17"/>
                <c:pt idx="0">
                  <c:v>0</c:v>
                </c:pt>
                <c:pt idx="1">
                  <c:v>37.01192591284989</c:v>
                </c:pt>
                <c:pt idx="2">
                  <c:v>58.724693819649907</c:v>
                </c:pt>
                <c:pt idx="3">
                  <c:v>69.043921939231538</c:v>
                </c:pt>
                <c:pt idx="4">
                  <c:v>75.669173189559686</c:v>
                </c:pt>
                <c:pt idx="5">
                  <c:v>80.826819167577611</c:v>
                </c:pt>
                <c:pt idx="6">
                  <c:v>84.956959204933497</c:v>
                </c:pt>
                <c:pt idx="7">
                  <c:v>87.381030344680525</c:v>
                </c:pt>
                <c:pt idx="8">
                  <c:v>89.45675380916532</c:v>
                </c:pt>
                <c:pt idx="9">
                  <c:v>90.502411081281195</c:v>
                </c:pt>
                <c:pt idx="10">
                  <c:v>91.111789554627052</c:v>
                </c:pt>
                <c:pt idx="11">
                  <c:v>91.529046518612049</c:v>
                </c:pt>
                <c:pt idx="12">
                  <c:v>92.070522363685342</c:v>
                </c:pt>
                <c:pt idx="13">
                  <c:v>92.785806954609242</c:v>
                </c:pt>
                <c:pt idx="14">
                  <c:v>92.952851594984793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73-48FD-A535-54C9D9238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891680"/>
        <c:axId val="270892072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1"/>
                <c:tx>
                  <c:strRef>
                    <c:extLst>
                      <c:ext uri="{02D57815-91ED-43cb-92C2-25804820EDAC}">
                        <c15:formulaRef>
                          <c15:sqref>'一般ユーザ向け(提出)'!#REF!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5400">
                    <a:solidFill>
                      <a:schemeClr val="accent6">
                        <a:lumMod val="75000"/>
                      </a:schemeClr>
                    </a:solidFill>
                    <a:prstDash val="solid"/>
                  </a:ln>
                </c:spPr>
                <c:marker>
                  <c:symbol val="circle"/>
                  <c:size val="7"/>
                  <c:spPr>
                    <a:solidFill>
                      <a:schemeClr val="accent6">
                        <a:lumMod val="75000"/>
                      </a:schemeClr>
                    </a:solidFill>
                    <a:ln>
                      <a:solidFill>
                        <a:schemeClr val="accent6">
                          <a:lumMod val="75000"/>
                        </a:schemeClr>
                      </a:solidFill>
                    </a:ln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ECO_HI!$D$16:$S$16</c15:sqref>
                        </c15:formulaRef>
                      </c:ext>
                    </c:extLst>
                    <c:numCache>
                      <c:formatCode>0.0</c:formatCode>
                      <c:ptCount val="16"/>
                      <c:pt idx="0">
                        <c:v>1.2535000000000001</c:v>
                      </c:pt>
                      <c:pt idx="1">
                        <c:v>1.9584999999999997</c:v>
                      </c:pt>
                      <c:pt idx="2">
                        <c:v>2.9144000000000001</c:v>
                      </c:pt>
                      <c:pt idx="3">
                        <c:v>3.7735000000000003</c:v>
                      </c:pt>
                      <c:pt idx="4">
                        <c:v>4.9805999999999999</c:v>
                      </c:pt>
                      <c:pt idx="5">
                        <c:v>6.0902500000000002</c:v>
                      </c:pt>
                      <c:pt idx="6">
                        <c:v>7.8933999999999997</c:v>
                      </c:pt>
                      <c:pt idx="7">
                        <c:v>10.0198</c:v>
                      </c:pt>
                      <c:pt idx="8">
                        <c:v>11.9695</c:v>
                      </c:pt>
                      <c:pt idx="9">
                        <c:v>13.892000000000001</c:v>
                      </c:pt>
                      <c:pt idx="10">
                        <c:v>16.067600000000002</c:v>
                      </c:pt>
                      <c:pt idx="11">
                        <c:v>18.087</c:v>
                      </c:pt>
                      <c:pt idx="12">
                        <c:v>20.020499999999998</c:v>
                      </c:pt>
                      <c:pt idx="13">
                        <c:v>24.92925</c:v>
                      </c:pt>
                      <c:pt idx="14">
                        <c:v>29.936333333333334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'一般ユーザ向け(提出)'!#REF!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3B73-48FD-A535-54C9D92380D7}"/>
                  </c:ext>
                </c:extLst>
              </c15:ser>
            </c15:filteredScatterSeries>
            <c15:filteredScatterSeries>
              <c15:ser>
                <c:idx val="1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'一般ユーザ向け(提出)'!#REF!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>
                    <a:solidFill>
                      <a:srgbClr val="00B050"/>
                    </a:solidFill>
                  </a:ln>
                </c:spPr>
                <c:marker>
                  <c:symbol val="circle"/>
                  <c:size val="7"/>
                  <c:spPr>
                    <a:solidFill>
                      <a:srgbClr val="00B050"/>
                    </a:solidFill>
                    <a:ln>
                      <a:solidFill>
                        <a:srgbClr val="00B050"/>
                      </a:solidFill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ECO_HI!$D$16:$S$16</c15:sqref>
                        </c15:formulaRef>
                      </c:ext>
                    </c:extLst>
                    <c:numCache>
                      <c:formatCode>0.0</c:formatCode>
                      <c:ptCount val="16"/>
                      <c:pt idx="0">
                        <c:v>1.2535000000000001</c:v>
                      </c:pt>
                      <c:pt idx="1">
                        <c:v>1.9584999999999997</c:v>
                      </c:pt>
                      <c:pt idx="2">
                        <c:v>2.9144000000000001</c:v>
                      </c:pt>
                      <c:pt idx="3">
                        <c:v>3.7735000000000003</c:v>
                      </c:pt>
                      <c:pt idx="4">
                        <c:v>4.9805999999999999</c:v>
                      </c:pt>
                      <c:pt idx="5">
                        <c:v>6.0902500000000002</c:v>
                      </c:pt>
                      <c:pt idx="6">
                        <c:v>7.8933999999999997</c:v>
                      </c:pt>
                      <c:pt idx="7">
                        <c:v>10.0198</c:v>
                      </c:pt>
                      <c:pt idx="8">
                        <c:v>11.9695</c:v>
                      </c:pt>
                      <c:pt idx="9">
                        <c:v>13.892000000000001</c:v>
                      </c:pt>
                      <c:pt idx="10">
                        <c:v>16.067600000000002</c:v>
                      </c:pt>
                      <c:pt idx="11">
                        <c:v>18.087</c:v>
                      </c:pt>
                      <c:pt idx="12">
                        <c:v>20.020499999999998</c:v>
                      </c:pt>
                      <c:pt idx="13">
                        <c:v>24.92925</c:v>
                      </c:pt>
                      <c:pt idx="14">
                        <c:v>29.936333333333334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'一般ユーザ向け(提出)'!#REF!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B73-48FD-A535-54C9D92380D7}"/>
                  </c:ext>
                </c:extLst>
              </c15:ser>
            </c15:filteredScatterSeries>
          </c:ext>
        </c:extLst>
      </c:scatterChart>
      <c:valAx>
        <c:axId val="270890896"/>
        <c:scaling>
          <c:orientation val="minMax"/>
          <c:max val="3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ＭＳ Ｐゴシック"/>
                    <a:cs typeface="Times New Roman" panose="02020603050405020304" pitchFamily="18" charset="0"/>
                  </a:defRPr>
                </a:pPr>
                <a:r>
                  <a:rPr lang="ja-JP" altLang="en-US" sz="1400" b="0" i="0" u="none" strike="noStrike" baseline="0">
                    <a:solidFill>
                      <a:srgbClr val="000000"/>
                    </a:solidFill>
                    <a:latin typeface="游ゴシック" panose="020B0400000000000000" pitchFamily="50" charset="-128"/>
                    <a:ea typeface="游ゴシック" panose="020B0400000000000000" pitchFamily="50" charset="-128"/>
                    <a:cs typeface="Times New Roman" panose="02020603050405020304" pitchFamily="18" charset="0"/>
                  </a:rPr>
                  <a:t>電流値 </a:t>
                </a:r>
                <a:r>
                  <a:rPr lang="en-US" altLang="ja-JP" sz="1400" b="0" i="0" u="none" strike="noStrike" baseline="0">
                    <a:solidFill>
                      <a:srgbClr val="000000"/>
                    </a:solidFill>
                    <a:latin typeface="游ゴシック" panose="020B0400000000000000" pitchFamily="50" charset="-128"/>
                    <a:ea typeface="游ゴシック" panose="020B0400000000000000" pitchFamily="50" charset="-128"/>
                    <a:cs typeface="Times New Roman" panose="02020603050405020304" pitchFamily="18" charset="0"/>
                  </a:rPr>
                  <a:t>Idc</a:t>
                </a:r>
                <a:r>
                  <a:rPr lang="ja-JP" altLang="en-US" sz="1400" b="0" i="0" u="none" strike="noStrike" baseline="0">
                    <a:solidFill>
                      <a:srgbClr val="000000"/>
                    </a:solidFill>
                    <a:latin typeface="游ゴシック" panose="020B0400000000000000" pitchFamily="50" charset="-128"/>
                    <a:ea typeface="游ゴシック" panose="020B0400000000000000" pitchFamily="50" charset="-128"/>
                    <a:cs typeface="Times New Roman" panose="02020603050405020304" pitchFamily="18" charset="0"/>
                  </a:rPr>
                  <a:t>[A]</a:t>
                </a:r>
              </a:p>
            </c:rich>
          </c:tx>
          <c:layout>
            <c:manualLayout>
              <c:xMode val="edge"/>
              <c:yMode val="edge"/>
              <c:x val="0.46250719493709458"/>
              <c:y val="0.948113379430150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270891288"/>
        <c:crossesAt val="0"/>
        <c:crossBetween val="midCat"/>
        <c:majorUnit val="2"/>
      </c:valAx>
      <c:valAx>
        <c:axId val="270891288"/>
        <c:scaling>
          <c:orientation val="minMax"/>
          <c:max val="1500"/>
          <c:min val="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BIZ UD明朝 Medium" panose="02020500000000000000" pitchFamily="17" charset="-128"/>
                    <a:ea typeface="BIZ UD明朝 Medium" panose="02020500000000000000" pitchFamily="17" charset="-128"/>
                    <a:cs typeface="Times New Roman" panose="02020603050405020304" pitchFamily="18" charset="0"/>
                  </a:defRPr>
                </a:pPr>
                <a:r>
                  <a:rPr lang="ja-JP" altLang="en-US" sz="1400" b="0" i="0" baseline="0">
                    <a:effectLst/>
                    <a:latin typeface="BIZ UD明朝 Medium" panose="02020500000000000000" pitchFamily="17" charset="-128"/>
                    <a:ea typeface="BIZ UD明朝 Medium" panose="02020500000000000000" pitchFamily="17" charset="-128"/>
                    <a:cs typeface="Times New Roman" panose="02020603050405020304" pitchFamily="18" charset="0"/>
                  </a:rPr>
                  <a:t>回転速度</a:t>
                </a:r>
                <a:r>
                  <a:rPr lang="ja-JP" altLang="ja-JP" sz="1400" b="0" i="0" baseline="0">
                    <a:effectLst/>
                    <a:latin typeface="BIZ UD明朝 Medium" panose="02020500000000000000" pitchFamily="17" charset="-128"/>
                    <a:ea typeface="BIZ UD明朝 Medium" panose="02020500000000000000" pitchFamily="17" charset="-128"/>
                    <a:cs typeface="Times New Roman" panose="02020603050405020304" pitchFamily="18" charset="0"/>
                  </a:rPr>
                  <a:t> [rpm]</a:t>
                </a:r>
                <a:endParaRPr lang="ja-JP" altLang="ja-JP" sz="1400">
                  <a:effectLst/>
                  <a:latin typeface="BIZ UD明朝 Medium" panose="02020500000000000000" pitchFamily="17" charset="-128"/>
                  <a:ea typeface="BIZ UD明朝 Medium" panose="02020500000000000000" pitchFamily="17" charset="-128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5978042462202358E-3"/>
              <c:y val="0.3019057305336833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BIZ UD明朝 Medium" panose="02020500000000000000" pitchFamily="17" charset="-128"/>
                <a:ea typeface="BIZ UD明朝 Medium" panose="02020500000000000000" pitchFamily="17" charset="-128"/>
                <a:cs typeface="ＭＳ Ｐゴシック"/>
              </a:defRPr>
            </a:pPr>
            <a:endParaRPr lang="ja-JP"/>
          </a:p>
        </c:txPr>
        <c:crossAx val="270890896"/>
        <c:crosses val="autoZero"/>
        <c:crossBetween val="midCat"/>
        <c:majorUnit val="100"/>
      </c:valAx>
      <c:valAx>
        <c:axId val="270891680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270892072"/>
        <c:crosses val="autoZero"/>
        <c:crossBetween val="midCat"/>
      </c:valAx>
      <c:valAx>
        <c:axId val="270892072"/>
        <c:scaling>
          <c:orientation val="minMax"/>
          <c:max val="100"/>
          <c:min val="0"/>
        </c:scaling>
        <c:delete val="0"/>
        <c:axPos val="r"/>
        <c:numFmt formatCode="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BIZ UD明朝 Medium" panose="02020500000000000000" pitchFamily="17" charset="-128"/>
                <a:ea typeface="BIZ UD明朝 Medium" panose="02020500000000000000" pitchFamily="17" charset="-128"/>
                <a:cs typeface="ＭＳ Ｐゴシック"/>
              </a:defRPr>
            </a:pPr>
            <a:endParaRPr lang="ja-JP"/>
          </a:p>
        </c:txPr>
        <c:crossAx val="270891680"/>
        <c:crosses val="max"/>
        <c:crossBetween val="midCat"/>
      </c:valAx>
      <c:spPr>
        <a:solidFill>
          <a:srgbClr val="FFFF99"/>
        </a:solidFill>
        <a:ln w="12700">
          <a:solidFill>
            <a:sysClr val="windowText" lastClr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>
      <c:oddHeader>&amp;A</c:oddHeader>
      <c:oddFooter>- &amp;P -</c:oddFooter>
    </c:headerFooter>
    <c:pageMargins b="1" l="0.75" r="0.75" t="1" header="0.51200000000000001" footer="0.51200000000000001"/>
    <c:pageSetup paperSize="9" orientation="landscape" horizontalDpi="240" verticalDpi="24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184898</xdr:colOff>
      <xdr:row>22</xdr:row>
      <xdr:rowOff>47370</xdr:rowOff>
    </xdr:from>
    <xdr:to>
      <xdr:col>18</xdr:col>
      <xdr:colOff>2096</xdr:colOff>
      <xdr:row>49</xdr:row>
      <xdr:rowOff>47370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3E3FAF0-AD81-4C8B-AEF0-B212AFC8AE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466725</xdr:colOff>
      <xdr:row>0</xdr:row>
      <xdr:rowOff>92869</xdr:rowOff>
    </xdr:from>
    <xdr:to>
      <xdr:col>17</xdr:col>
      <xdr:colOff>150606</xdr:colOff>
      <xdr:row>11</xdr:row>
      <xdr:rowOff>267691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04BA11A-63D7-4EEB-A16F-3F77C7920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43825" y="92869"/>
          <a:ext cx="3455781" cy="2251272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0.00439</cdr:x>
      <cdr:y>0.00941</cdr:y>
    </cdr:from>
    <cdr:to>
      <cdr:x>0.16953</cdr:x>
      <cdr:y>0.08411</cdr:y>
    </cdr:to>
    <cdr:sp macro="" textlink="">
      <cdr:nvSpPr>
        <cdr:cNvPr id="2" name="テキスト ボックス 1"/>
        <cdr:cNvSpPr txBox="1"/>
      </cdr:nvSpPr>
      <cdr:spPr>
        <a:xfrm xmlns:a="http://schemas.openxmlformats.org/drawingml/2006/main">
          <a:off x="50462" y="43560"/>
          <a:ext cx="1898240" cy="3457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ja-JP" sz="1800" b="1">
              <a:solidFill>
                <a:srgbClr val="000099"/>
              </a:solidFill>
              <a:latin typeface="+mj-ea"/>
              <a:ea typeface="+mj-ea"/>
            </a:rPr>
            <a:t>102.2V</a:t>
          </a:r>
          <a:r>
            <a:rPr lang="ja-JP" altLang="en-US" sz="1800" b="1">
              <a:solidFill>
                <a:srgbClr val="000099"/>
              </a:solidFill>
              <a:latin typeface="+mj-ea"/>
              <a:ea typeface="+mj-ea"/>
            </a:rPr>
            <a:t>　</a:t>
          </a:r>
          <a:r>
            <a:rPr lang="en-US" altLang="ja-JP" sz="1800" b="1">
              <a:solidFill>
                <a:srgbClr val="000099"/>
              </a:solidFill>
              <a:latin typeface="+mj-ea"/>
              <a:ea typeface="+mj-ea"/>
            </a:rPr>
            <a:t>PWM(LO)</a:t>
          </a:r>
          <a:endParaRPr lang="ja-JP" altLang="en-US" sz="1800" b="1">
            <a:solidFill>
              <a:srgbClr val="000099"/>
            </a:solidFill>
            <a:latin typeface="+mj-ea"/>
            <a:ea typeface="+mj-ea"/>
          </a:endParaRPr>
        </a:p>
      </cdr:txBody>
    </cdr:sp>
  </cdr:relSizeAnchor>
  <cdr:relSizeAnchor xmlns:cdr="http://schemas.openxmlformats.org/drawingml/2006/chartDrawing">
    <cdr:from>
      <cdr:x>0.20718</cdr:x>
      <cdr:y>0.51857</cdr:y>
    </cdr:from>
    <cdr:to>
      <cdr:x>0.30459</cdr:x>
      <cdr:y>0.58998</cdr:y>
    </cdr:to>
    <cdr:sp macro="" textlink="">
      <cdr:nvSpPr>
        <cdr:cNvPr id="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381526" y="2400555"/>
          <a:ext cx="1119714" cy="33056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cdr:spPr>
      <cdr:txBody>
        <a:bodyPr xmlns:a="http://schemas.openxmlformats.org/drawingml/2006/main" wrap="square" lIns="36576" tIns="22860" rIns="36576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ja-JP" altLang="en-US" sz="1500" b="0" i="0" u="none" strike="noStrike" baseline="0">
              <a:solidFill>
                <a:srgbClr val="000000"/>
              </a:solidFill>
              <a:latin typeface="BIZ UD明朝 Medium" panose="02020500000000000000" pitchFamily="17" charset="-128"/>
              <a:ea typeface="BIZ UD明朝 Medium" panose="02020500000000000000" pitchFamily="17" charset="-128"/>
              <a:cs typeface="Times New Roman" panose="02020603050405020304" pitchFamily="18" charset="0"/>
            </a:rPr>
            <a:t>回転速度</a:t>
          </a:r>
          <a:endParaRPr lang="ja-JP" altLang="en-US">
            <a:latin typeface="BIZ UD明朝 Medium" panose="02020500000000000000" pitchFamily="17" charset="-128"/>
            <a:ea typeface="BIZ UD明朝 Medium" panose="02020500000000000000" pitchFamily="17" charset="-128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0.73524</cdr:x>
      <cdr:y>0.46783</cdr:y>
    </cdr:from>
    <cdr:to>
      <cdr:x>0.79375</cdr:x>
      <cdr:y>0.53182</cdr:y>
    </cdr:to>
    <cdr:sp macro="" textlink="">
      <cdr:nvSpPr>
        <cdr:cNvPr id="6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451460" y="2165647"/>
          <a:ext cx="672563" cy="296235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 w="28575">
          <a:solidFill>
            <a:srgbClr xmlns:mc="http://schemas.openxmlformats.org/markup-compatibility/2006" xmlns:a14="http://schemas.microsoft.com/office/drawing/2010/main" val="FF00FF" mc:Ignorable="a14" a14:legacySpreadsheetColorIndex="14"/>
          </a:solidFill>
          <a:miter lim="800000"/>
          <a:headEnd/>
          <a:tailEnd/>
        </a:ln>
      </cdr:spPr>
      <cdr:txBody>
        <a:bodyPr xmlns:a="http://schemas.openxmlformats.org/drawingml/2006/main" wrap="square" lIns="27432" tIns="22860" rIns="27432" bIns="22860" anchor="ctr" upright="1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ja-JP" altLang="en-US" sz="1500" b="0" i="0" u="none" strike="noStrike" baseline="0">
              <a:solidFill>
                <a:srgbClr val="000000"/>
              </a:solidFill>
              <a:latin typeface="BIZ UD明朝 Medium" panose="02020500000000000000" pitchFamily="17" charset="-128"/>
              <a:ea typeface="BIZ UD明朝 Medium" panose="02020500000000000000" pitchFamily="17" charset="-128"/>
              <a:cs typeface="Times New Roman" panose="02020603050405020304" pitchFamily="18" charset="0"/>
            </a:rPr>
            <a:t>トルク</a:t>
          </a:r>
          <a:endParaRPr lang="ja-JP" altLang="en-US">
            <a:latin typeface="BIZ UD明朝 Medium" panose="02020500000000000000" pitchFamily="17" charset="-128"/>
            <a:ea typeface="BIZ UD明朝 Medium" panose="02020500000000000000" pitchFamily="17" charset="-128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0.50552</cdr:x>
      <cdr:y>0.22517</cdr:y>
    </cdr:from>
    <cdr:to>
      <cdr:x>0.56561</cdr:x>
      <cdr:y>0.28916</cdr:y>
    </cdr:to>
    <cdr:sp macro="" textlink="">
      <cdr:nvSpPr>
        <cdr:cNvPr id="9" name="Text Box 3">
          <a:extLst xmlns:a="http://schemas.openxmlformats.org/drawingml/2006/main">
            <a:ext uri="{FF2B5EF4-FFF2-40B4-BE49-F238E27FC236}">
              <a16:creationId xmlns:a16="http://schemas.microsoft.com/office/drawing/2014/main" id="{CEEB7666-05B9-43F7-A976-12C923E53B3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10909" y="1042351"/>
          <a:ext cx="690725" cy="296235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cdr:spPr>
      <cdr:txBody>
        <a:bodyPr xmlns:a="http://schemas.openxmlformats.org/drawingml/2006/main" wrap="square" lIns="27432" tIns="22860" rIns="27432" bIns="22860" anchor="ctr" upright="1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ja-JP" altLang="en-US" sz="1500" b="0" i="0" u="none" strike="noStrike" baseline="0">
              <a:solidFill>
                <a:srgbClr val="000000"/>
              </a:solidFill>
              <a:latin typeface="BIZ UD明朝 Medium" panose="02020500000000000000" pitchFamily="17" charset="-128"/>
              <a:ea typeface="BIZ UD明朝 Medium" panose="02020500000000000000" pitchFamily="17" charset="-128"/>
              <a:cs typeface="Times New Roman" panose="02020603050405020304" pitchFamily="18" charset="0"/>
            </a:rPr>
            <a:t>効率</a:t>
          </a:r>
          <a:endParaRPr lang="ja-JP" altLang="en-US">
            <a:latin typeface="BIZ UD明朝 Medium" panose="02020500000000000000" pitchFamily="17" charset="-128"/>
            <a:ea typeface="BIZ UD明朝 Medium" panose="02020500000000000000" pitchFamily="17" charset="-128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0.96965</cdr:x>
      <cdr:y>0.29918</cdr:y>
    </cdr:from>
    <cdr:to>
      <cdr:x>1</cdr:x>
      <cdr:y>0.71903</cdr:y>
    </cdr:to>
    <cdr:sp macro="" textlink="">
      <cdr:nvSpPr>
        <cdr:cNvPr id="10" name="テキスト ボックス 1"/>
        <cdr:cNvSpPr txBox="1"/>
      </cdr:nvSpPr>
      <cdr:spPr>
        <a:xfrm xmlns:a="http://schemas.openxmlformats.org/drawingml/2006/main" rot="16200000">
          <a:off x="10348639" y="2182275"/>
          <a:ext cx="1943549" cy="3488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ja-JP" altLang="en-US" sz="1400">
              <a:latin typeface="BIZ UD明朝 Medium" panose="02020500000000000000" pitchFamily="17" charset="-128"/>
              <a:ea typeface="BIZ UD明朝 Medium" panose="02020500000000000000" pitchFamily="17" charset="-128"/>
              <a:cs typeface="Times New Roman" panose="02020603050405020304" pitchFamily="18" charset="0"/>
            </a:rPr>
            <a:t>効率</a:t>
          </a:r>
          <a:r>
            <a:rPr lang="en-US" altLang="ja-JP" sz="1400">
              <a:latin typeface="BIZ UD明朝 Medium" panose="02020500000000000000" pitchFamily="17" charset="-128"/>
              <a:ea typeface="BIZ UD明朝 Medium" panose="02020500000000000000" pitchFamily="17" charset="-128"/>
              <a:cs typeface="Times New Roman" panose="02020603050405020304" pitchFamily="18" charset="0"/>
            </a:rPr>
            <a:t> [%]</a:t>
          </a:r>
          <a:r>
            <a:rPr lang="ja-JP" altLang="en-US" sz="1400" baseline="0">
              <a:latin typeface="BIZ UD明朝 Medium" panose="02020500000000000000" pitchFamily="17" charset="-128"/>
              <a:ea typeface="BIZ UD明朝 Medium" panose="02020500000000000000" pitchFamily="17" charset="-128"/>
              <a:cs typeface="Times New Roman" panose="02020603050405020304" pitchFamily="18" charset="0"/>
            </a:rPr>
            <a:t>　　トルク</a:t>
          </a:r>
          <a:r>
            <a:rPr lang="en-US" altLang="ja-JP" sz="1400" baseline="0">
              <a:latin typeface="BIZ UD明朝 Medium" panose="02020500000000000000" pitchFamily="17" charset="-128"/>
              <a:ea typeface="BIZ UD明朝 Medium" panose="02020500000000000000" pitchFamily="17" charset="-128"/>
              <a:cs typeface="Times New Roman" panose="02020603050405020304" pitchFamily="18" charset="0"/>
            </a:rPr>
            <a:t>[N-m]</a:t>
          </a:r>
          <a:endParaRPr lang="en-US" altLang="ja-JP" sz="1400">
            <a:latin typeface="BIZ UD明朝 Medium" panose="02020500000000000000" pitchFamily="17" charset="-128"/>
            <a:ea typeface="BIZ UD明朝 Medium" panose="02020500000000000000" pitchFamily="17" charset="-128"/>
            <a:cs typeface="Times New Roman" panose="02020603050405020304" pitchFamily="18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184898</xdr:colOff>
      <xdr:row>22</xdr:row>
      <xdr:rowOff>47370</xdr:rowOff>
    </xdr:from>
    <xdr:to>
      <xdr:col>18</xdr:col>
      <xdr:colOff>2096</xdr:colOff>
      <xdr:row>49</xdr:row>
      <xdr:rowOff>47370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7B59CD9-B77B-4672-A245-AEE0AA2602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466725</xdr:colOff>
      <xdr:row>0</xdr:row>
      <xdr:rowOff>92869</xdr:rowOff>
    </xdr:from>
    <xdr:to>
      <xdr:col>17</xdr:col>
      <xdr:colOff>150606</xdr:colOff>
      <xdr:row>11</xdr:row>
      <xdr:rowOff>267691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7C6146C-2889-4E6E-B287-950259709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43825" y="92869"/>
          <a:ext cx="3455781" cy="2251272"/>
        </a:xfrm>
        <a:prstGeom prst="rect">
          <a:avLst/>
        </a:prstGeom>
      </xdr:spPr>
    </xdr:pic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0.00439</cdr:x>
      <cdr:y>0.00941</cdr:y>
    </cdr:from>
    <cdr:to>
      <cdr:x>0.16953</cdr:x>
      <cdr:y>0.08411</cdr:y>
    </cdr:to>
    <cdr:sp macro="" textlink="">
      <cdr:nvSpPr>
        <cdr:cNvPr id="2" name="テキスト ボックス 1"/>
        <cdr:cNvSpPr txBox="1"/>
      </cdr:nvSpPr>
      <cdr:spPr>
        <a:xfrm xmlns:a="http://schemas.openxmlformats.org/drawingml/2006/main">
          <a:off x="50462" y="43560"/>
          <a:ext cx="1898240" cy="3457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ja-JP" sz="1800" b="1">
              <a:solidFill>
                <a:srgbClr val="000099"/>
              </a:solidFill>
              <a:latin typeface="+mj-ea"/>
              <a:ea typeface="+mj-ea"/>
            </a:rPr>
            <a:t>102.2V</a:t>
          </a:r>
          <a:r>
            <a:rPr lang="ja-JP" altLang="en-US" sz="1800" b="1">
              <a:solidFill>
                <a:srgbClr val="000099"/>
              </a:solidFill>
              <a:latin typeface="+mj-ea"/>
              <a:ea typeface="+mj-ea"/>
            </a:rPr>
            <a:t>　</a:t>
          </a:r>
          <a:r>
            <a:rPr lang="en-US" altLang="ja-JP" sz="1800" b="1">
              <a:solidFill>
                <a:srgbClr val="000099"/>
              </a:solidFill>
              <a:latin typeface="+mj-ea"/>
              <a:ea typeface="+mj-ea"/>
            </a:rPr>
            <a:t>PWM(HI)</a:t>
          </a:r>
          <a:endParaRPr lang="ja-JP" altLang="en-US" sz="1800" b="1">
            <a:solidFill>
              <a:srgbClr val="000099"/>
            </a:solidFill>
            <a:latin typeface="+mj-ea"/>
            <a:ea typeface="+mj-ea"/>
          </a:endParaRPr>
        </a:p>
      </cdr:txBody>
    </cdr:sp>
  </cdr:relSizeAnchor>
  <cdr:relSizeAnchor xmlns:cdr="http://schemas.openxmlformats.org/drawingml/2006/chartDrawing">
    <cdr:from>
      <cdr:x>0.29585</cdr:x>
      <cdr:y>0.53915</cdr:y>
    </cdr:from>
    <cdr:to>
      <cdr:x>0.39326</cdr:x>
      <cdr:y>0.61056</cdr:y>
    </cdr:to>
    <cdr:sp macro="" textlink="">
      <cdr:nvSpPr>
        <cdr:cNvPr id="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00701" y="2495805"/>
          <a:ext cx="1119714" cy="33056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cdr:spPr>
      <cdr:txBody>
        <a:bodyPr xmlns:a="http://schemas.openxmlformats.org/drawingml/2006/main" wrap="square" lIns="36576" tIns="22860" rIns="36576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ja-JP" altLang="en-US" sz="1500" b="0" i="0" u="none" strike="noStrike" baseline="0">
              <a:solidFill>
                <a:srgbClr val="000000"/>
              </a:solidFill>
              <a:latin typeface="BIZ UD明朝 Medium" panose="02020500000000000000" pitchFamily="17" charset="-128"/>
              <a:ea typeface="BIZ UD明朝 Medium" panose="02020500000000000000" pitchFamily="17" charset="-128"/>
              <a:cs typeface="Times New Roman" panose="02020603050405020304" pitchFamily="18" charset="0"/>
            </a:rPr>
            <a:t>回転速度</a:t>
          </a:r>
          <a:endParaRPr lang="ja-JP" altLang="en-US">
            <a:latin typeface="BIZ UD明朝 Medium" panose="02020500000000000000" pitchFamily="17" charset="-128"/>
            <a:ea typeface="BIZ UD明朝 Medium" panose="02020500000000000000" pitchFamily="17" charset="-128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0.79076</cdr:x>
      <cdr:y>0.76412</cdr:y>
    </cdr:from>
    <cdr:to>
      <cdr:x>0.84927</cdr:x>
      <cdr:y>0.82812</cdr:y>
    </cdr:to>
    <cdr:sp macro="" textlink="">
      <cdr:nvSpPr>
        <cdr:cNvPr id="6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089635" y="3537247"/>
          <a:ext cx="672563" cy="296235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 w="28575">
          <a:solidFill>
            <a:srgbClr xmlns:mc="http://schemas.openxmlformats.org/markup-compatibility/2006" xmlns:a14="http://schemas.microsoft.com/office/drawing/2010/main" val="FF00FF" mc:Ignorable="a14" a14:legacySpreadsheetColorIndex="14"/>
          </a:solidFill>
          <a:miter lim="800000"/>
          <a:headEnd/>
          <a:tailEnd/>
        </a:ln>
      </cdr:spPr>
      <cdr:txBody>
        <a:bodyPr xmlns:a="http://schemas.openxmlformats.org/drawingml/2006/main" wrap="square" lIns="27432" tIns="22860" rIns="27432" bIns="22860" anchor="ctr" upright="1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ja-JP" altLang="en-US" sz="1500" b="0" i="0" u="none" strike="noStrike" baseline="0">
              <a:solidFill>
                <a:srgbClr val="000000"/>
              </a:solidFill>
              <a:latin typeface="BIZ UD明朝 Medium" panose="02020500000000000000" pitchFamily="17" charset="-128"/>
              <a:ea typeface="BIZ UD明朝 Medium" panose="02020500000000000000" pitchFamily="17" charset="-128"/>
              <a:cs typeface="Times New Roman" panose="02020603050405020304" pitchFamily="18" charset="0"/>
            </a:rPr>
            <a:t>トルク</a:t>
          </a:r>
          <a:endParaRPr lang="ja-JP" altLang="en-US">
            <a:latin typeface="BIZ UD明朝 Medium" panose="02020500000000000000" pitchFamily="17" charset="-128"/>
            <a:ea typeface="BIZ UD明朝 Medium" panose="02020500000000000000" pitchFamily="17" charset="-128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0.50552</cdr:x>
      <cdr:y>0.23752</cdr:y>
    </cdr:from>
    <cdr:to>
      <cdr:x>0.56561</cdr:x>
      <cdr:y>0.30151</cdr:y>
    </cdr:to>
    <cdr:sp macro="" textlink="">
      <cdr:nvSpPr>
        <cdr:cNvPr id="9" name="Text Box 3">
          <a:extLst xmlns:a="http://schemas.openxmlformats.org/drawingml/2006/main">
            <a:ext uri="{FF2B5EF4-FFF2-40B4-BE49-F238E27FC236}">
              <a16:creationId xmlns:a16="http://schemas.microsoft.com/office/drawing/2014/main" id="{CEEB7666-05B9-43F7-A976-12C923E53B3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10909" y="1099501"/>
          <a:ext cx="690725" cy="296235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cdr:spPr>
      <cdr:txBody>
        <a:bodyPr xmlns:a="http://schemas.openxmlformats.org/drawingml/2006/main" wrap="square" lIns="27432" tIns="22860" rIns="27432" bIns="22860" anchor="ctr" upright="1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ja-JP" altLang="en-US" sz="1500" b="0" i="0" u="none" strike="noStrike" baseline="0">
              <a:solidFill>
                <a:srgbClr val="000000"/>
              </a:solidFill>
              <a:latin typeface="BIZ UD明朝 Medium" panose="02020500000000000000" pitchFamily="17" charset="-128"/>
              <a:ea typeface="BIZ UD明朝 Medium" panose="02020500000000000000" pitchFamily="17" charset="-128"/>
              <a:cs typeface="Times New Roman" panose="02020603050405020304" pitchFamily="18" charset="0"/>
            </a:rPr>
            <a:t>効率</a:t>
          </a:r>
          <a:endParaRPr lang="ja-JP" altLang="en-US">
            <a:latin typeface="BIZ UD明朝 Medium" panose="02020500000000000000" pitchFamily="17" charset="-128"/>
            <a:ea typeface="BIZ UD明朝 Medium" panose="02020500000000000000" pitchFamily="17" charset="-128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0.96965</cdr:x>
      <cdr:y>0.29918</cdr:y>
    </cdr:from>
    <cdr:to>
      <cdr:x>1</cdr:x>
      <cdr:y>0.71903</cdr:y>
    </cdr:to>
    <cdr:sp macro="" textlink="">
      <cdr:nvSpPr>
        <cdr:cNvPr id="10" name="テキスト ボックス 1"/>
        <cdr:cNvSpPr txBox="1"/>
      </cdr:nvSpPr>
      <cdr:spPr>
        <a:xfrm xmlns:a="http://schemas.openxmlformats.org/drawingml/2006/main" rot="16200000">
          <a:off x="10348639" y="2182275"/>
          <a:ext cx="1943549" cy="3488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ja-JP" altLang="en-US" sz="1400">
              <a:latin typeface="BIZ UD明朝 Medium" panose="02020500000000000000" pitchFamily="17" charset="-128"/>
              <a:ea typeface="BIZ UD明朝 Medium" panose="02020500000000000000" pitchFamily="17" charset="-128"/>
              <a:cs typeface="Times New Roman" panose="02020603050405020304" pitchFamily="18" charset="0"/>
            </a:rPr>
            <a:t>効率</a:t>
          </a:r>
          <a:r>
            <a:rPr lang="en-US" altLang="ja-JP" sz="1400">
              <a:latin typeface="BIZ UD明朝 Medium" panose="02020500000000000000" pitchFamily="17" charset="-128"/>
              <a:ea typeface="BIZ UD明朝 Medium" panose="02020500000000000000" pitchFamily="17" charset="-128"/>
              <a:cs typeface="Times New Roman" panose="02020603050405020304" pitchFamily="18" charset="0"/>
            </a:rPr>
            <a:t> [%]</a:t>
          </a:r>
          <a:r>
            <a:rPr lang="ja-JP" altLang="en-US" sz="1400" baseline="0">
              <a:latin typeface="BIZ UD明朝 Medium" panose="02020500000000000000" pitchFamily="17" charset="-128"/>
              <a:ea typeface="BIZ UD明朝 Medium" panose="02020500000000000000" pitchFamily="17" charset="-128"/>
              <a:cs typeface="Times New Roman" panose="02020603050405020304" pitchFamily="18" charset="0"/>
            </a:rPr>
            <a:t>　　トルク</a:t>
          </a:r>
          <a:r>
            <a:rPr lang="en-US" altLang="ja-JP" sz="1400" baseline="0">
              <a:latin typeface="BIZ UD明朝 Medium" panose="02020500000000000000" pitchFamily="17" charset="-128"/>
              <a:ea typeface="BIZ UD明朝 Medium" panose="02020500000000000000" pitchFamily="17" charset="-128"/>
              <a:cs typeface="Times New Roman" panose="02020603050405020304" pitchFamily="18" charset="0"/>
            </a:rPr>
            <a:t>[N-m]</a:t>
          </a:r>
          <a:endParaRPr lang="en-US" altLang="ja-JP" sz="1400">
            <a:latin typeface="BIZ UD明朝 Medium" panose="02020500000000000000" pitchFamily="17" charset="-128"/>
            <a:ea typeface="BIZ UD明朝 Medium" panose="02020500000000000000" pitchFamily="17" charset="-128"/>
            <a:cs typeface="Times New Roman" panose="02020603050405020304" pitchFamily="18" charset="0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184898</xdr:colOff>
      <xdr:row>22</xdr:row>
      <xdr:rowOff>47370</xdr:rowOff>
    </xdr:from>
    <xdr:to>
      <xdr:col>18</xdr:col>
      <xdr:colOff>2096</xdr:colOff>
      <xdr:row>49</xdr:row>
      <xdr:rowOff>47370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F490FCF-6903-453D-9997-9DB599D854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466725</xdr:colOff>
      <xdr:row>0</xdr:row>
      <xdr:rowOff>92869</xdr:rowOff>
    </xdr:from>
    <xdr:to>
      <xdr:col>17</xdr:col>
      <xdr:colOff>150606</xdr:colOff>
      <xdr:row>11</xdr:row>
      <xdr:rowOff>267691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D3C4A3B-7440-40E5-951C-3366EBC83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43825" y="92869"/>
          <a:ext cx="3455781" cy="2251272"/>
        </a:xfrm>
        <a:prstGeom prst="rect">
          <a:avLst/>
        </a:prstGeom>
      </xdr:spPr>
    </xdr:pic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0.00439</cdr:x>
      <cdr:y>0.00941</cdr:y>
    </cdr:from>
    <cdr:to>
      <cdr:x>0.16953</cdr:x>
      <cdr:y>0.08411</cdr:y>
    </cdr:to>
    <cdr:sp macro="" textlink="">
      <cdr:nvSpPr>
        <cdr:cNvPr id="2" name="テキスト ボックス 1"/>
        <cdr:cNvSpPr txBox="1"/>
      </cdr:nvSpPr>
      <cdr:spPr>
        <a:xfrm xmlns:a="http://schemas.openxmlformats.org/drawingml/2006/main">
          <a:off x="50462" y="43560"/>
          <a:ext cx="1898240" cy="3457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ja-JP" sz="1800" b="1">
              <a:solidFill>
                <a:srgbClr val="000099"/>
              </a:solidFill>
              <a:latin typeface="+mj-ea"/>
              <a:ea typeface="+mj-ea"/>
            </a:rPr>
            <a:t>102.2V</a:t>
          </a:r>
          <a:r>
            <a:rPr lang="ja-JP" altLang="en-US" sz="1800" b="1">
              <a:solidFill>
                <a:srgbClr val="000099"/>
              </a:solidFill>
              <a:latin typeface="+mj-ea"/>
              <a:ea typeface="+mj-ea"/>
            </a:rPr>
            <a:t>　</a:t>
          </a:r>
          <a:r>
            <a:rPr lang="en-US" altLang="ja-JP" sz="1800" b="1">
              <a:solidFill>
                <a:srgbClr val="000099"/>
              </a:solidFill>
              <a:latin typeface="+mj-ea"/>
              <a:ea typeface="+mj-ea"/>
            </a:rPr>
            <a:t>ECO(LO)</a:t>
          </a:r>
          <a:endParaRPr lang="ja-JP" altLang="en-US" sz="1800" b="1">
            <a:solidFill>
              <a:srgbClr val="000099"/>
            </a:solidFill>
            <a:latin typeface="+mj-ea"/>
            <a:ea typeface="+mj-ea"/>
          </a:endParaRPr>
        </a:p>
      </cdr:txBody>
    </cdr:sp>
  </cdr:relSizeAnchor>
  <cdr:relSizeAnchor xmlns:cdr="http://schemas.openxmlformats.org/drawingml/2006/chartDrawing">
    <cdr:from>
      <cdr:x>0.23536</cdr:x>
      <cdr:y>0.48977</cdr:y>
    </cdr:from>
    <cdr:to>
      <cdr:x>0.33277</cdr:x>
      <cdr:y>0.56118</cdr:y>
    </cdr:to>
    <cdr:sp macro="" textlink="">
      <cdr:nvSpPr>
        <cdr:cNvPr id="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705376" y="2267205"/>
          <a:ext cx="1119714" cy="33056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cdr:spPr>
      <cdr:txBody>
        <a:bodyPr xmlns:a="http://schemas.openxmlformats.org/drawingml/2006/main" wrap="square" lIns="36576" tIns="22860" rIns="36576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ja-JP" altLang="en-US" sz="1500" b="0" i="0" u="none" strike="noStrike" baseline="0">
              <a:solidFill>
                <a:srgbClr val="000000"/>
              </a:solidFill>
              <a:latin typeface="BIZ UD明朝 Medium" panose="02020500000000000000" pitchFamily="17" charset="-128"/>
              <a:ea typeface="BIZ UD明朝 Medium" panose="02020500000000000000" pitchFamily="17" charset="-128"/>
              <a:cs typeface="Times New Roman" panose="02020603050405020304" pitchFamily="18" charset="0"/>
            </a:rPr>
            <a:t>回転速度</a:t>
          </a:r>
          <a:endParaRPr lang="ja-JP" altLang="en-US">
            <a:latin typeface="BIZ UD明朝 Medium" panose="02020500000000000000" pitchFamily="17" charset="-128"/>
            <a:ea typeface="BIZ UD明朝 Medium" panose="02020500000000000000" pitchFamily="17" charset="-128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0.7891</cdr:x>
      <cdr:y>0.46783</cdr:y>
    </cdr:from>
    <cdr:to>
      <cdr:x>0.84761</cdr:x>
      <cdr:y>0.53182</cdr:y>
    </cdr:to>
    <cdr:sp macro="" textlink="">
      <cdr:nvSpPr>
        <cdr:cNvPr id="6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070585" y="2165647"/>
          <a:ext cx="672563" cy="296235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 w="28575">
          <a:solidFill>
            <a:srgbClr xmlns:mc="http://schemas.openxmlformats.org/markup-compatibility/2006" xmlns:a14="http://schemas.microsoft.com/office/drawing/2010/main" val="FF00FF" mc:Ignorable="a14" a14:legacySpreadsheetColorIndex="14"/>
          </a:solidFill>
          <a:miter lim="800000"/>
          <a:headEnd/>
          <a:tailEnd/>
        </a:ln>
      </cdr:spPr>
      <cdr:txBody>
        <a:bodyPr xmlns:a="http://schemas.openxmlformats.org/drawingml/2006/main" wrap="square" lIns="27432" tIns="22860" rIns="27432" bIns="22860" anchor="ctr" upright="1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ja-JP" altLang="en-US" sz="1500" b="0" i="0" u="none" strike="noStrike" baseline="0">
              <a:solidFill>
                <a:srgbClr val="000000"/>
              </a:solidFill>
              <a:latin typeface="BIZ UD明朝 Medium" panose="02020500000000000000" pitchFamily="17" charset="-128"/>
              <a:ea typeface="BIZ UD明朝 Medium" panose="02020500000000000000" pitchFamily="17" charset="-128"/>
              <a:cs typeface="Times New Roman" panose="02020603050405020304" pitchFamily="18" charset="0"/>
            </a:rPr>
            <a:t>トルク</a:t>
          </a:r>
          <a:endParaRPr lang="ja-JP" altLang="en-US">
            <a:latin typeface="BIZ UD明朝 Medium" panose="02020500000000000000" pitchFamily="17" charset="-128"/>
            <a:ea typeface="BIZ UD明朝 Medium" panose="02020500000000000000" pitchFamily="17" charset="-128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0.45083</cdr:x>
      <cdr:y>0.23134</cdr:y>
    </cdr:from>
    <cdr:to>
      <cdr:x>0.51092</cdr:x>
      <cdr:y>0.29534</cdr:y>
    </cdr:to>
    <cdr:sp macro="" textlink="">
      <cdr:nvSpPr>
        <cdr:cNvPr id="9" name="Text Box 3">
          <a:extLst xmlns:a="http://schemas.openxmlformats.org/drawingml/2006/main">
            <a:ext uri="{FF2B5EF4-FFF2-40B4-BE49-F238E27FC236}">
              <a16:creationId xmlns:a16="http://schemas.microsoft.com/office/drawing/2014/main" id="{CEEB7666-05B9-43F7-A976-12C923E53B3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182259" y="1070926"/>
          <a:ext cx="690725" cy="296235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cdr:spPr>
      <cdr:txBody>
        <a:bodyPr xmlns:a="http://schemas.openxmlformats.org/drawingml/2006/main" wrap="square" lIns="27432" tIns="22860" rIns="27432" bIns="22860" anchor="ctr" upright="1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ja-JP" altLang="en-US" sz="1500" b="0" i="0" u="none" strike="noStrike" baseline="0">
              <a:solidFill>
                <a:srgbClr val="000000"/>
              </a:solidFill>
              <a:latin typeface="BIZ UD明朝 Medium" panose="02020500000000000000" pitchFamily="17" charset="-128"/>
              <a:ea typeface="BIZ UD明朝 Medium" panose="02020500000000000000" pitchFamily="17" charset="-128"/>
              <a:cs typeface="Times New Roman" panose="02020603050405020304" pitchFamily="18" charset="0"/>
            </a:rPr>
            <a:t>効率</a:t>
          </a:r>
          <a:endParaRPr lang="ja-JP" altLang="en-US">
            <a:latin typeface="BIZ UD明朝 Medium" panose="02020500000000000000" pitchFamily="17" charset="-128"/>
            <a:ea typeface="BIZ UD明朝 Medium" panose="02020500000000000000" pitchFamily="17" charset="-128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0.96965</cdr:x>
      <cdr:y>0.29918</cdr:y>
    </cdr:from>
    <cdr:to>
      <cdr:x>1</cdr:x>
      <cdr:y>0.71903</cdr:y>
    </cdr:to>
    <cdr:sp macro="" textlink="">
      <cdr:nvSpPr>
        <cdr:cNvPr id="10" name="テキスト ボックス 1"/>
        <cdr:cNvSpPr txBox="1"/>
      </cdr:nvSpPr>
      <cdr:spPr>
        <a:xfrm xmlns:a="http://schemas.openxmlformats.org/drawingml/2006/main" rot="16200000">
          <a:off x="10348639" y="2182275"/>
          <a:ext cx="1943549" cy="3488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ja-JP" altLang="en-US" sz="1400">
              <a:latin typeface="BIZ UD明朝 Medium" panose="02020500000000000000" pitchFamily="17" charset="-128"/>
              <a:ea typeface="BIZ UD明朝 Medium" panose="02020500000000000000" pitchFamily="17" charset="-128"/>
              <a:cs typeface="Times New Roman" panose="02020603050405020304" pitchFamily="18" charset="0"/>
            </a:rPr>
            <a:t>効率</a:t>
          </a:r>
          <a:r>
            <a:rPr lang="en-US" altLang="ja-JP" sz="1400">
              <a:latin typeface="BIZ UD明朝 Medium" panose="02020500000000000000" pitchFamily="17" charset="-128"/>
              <a:ea typeface="BIZ UD明朝 Medium" panose="02020500000000000000" pitchFamily="17" charset="-128"/>
              <a:cs typeface="Times New Roman" panose="02020603050405020304" pitchFamily="18" charset="0"/>
            </a:rPr>
            <a:t> [%]</a:t>
          </a:r>
          <a:r>
            <a:rPr lang="ja-JP" altLang="en-US" sz="1400" baseline="0">
              <a:latin typeface="BIZ UD明朝 Medium" panose="02020500000000000000" pitchFamily="17" charset="-128"/>
              <a:ea typeface="BIZ UD明朝 Medium" panose="02020500000000000000" pitchFamily="17" charset="-128"/>
              <a:cs typeface="Times New Roman" panose="02020603050405020304" pitchFamily="18" charset="0"/>
            </a:rPr>
            <a:t>　　トルク</a:t>
          </a:r>
          <a:r>
            <a:rPr lang="en-US" altLang="ja-JP" sz="1400" baseline="0">
              <a:latin typeface="BIZ UD明朝 Medium" panose="02020500000000000000" pitchFamily="17" charset="-128"/>
              <a:ea typeface="BIZ UD明朝 Medium" panose="02020500000000000000" pitchFamily="17" charset="-128"/>
              <a:cs typeface="Times New Roman" panose="02020603050405020304" pitchFamily="18" charset="0"/>
            </a:rPr>
            <a:t>[N-m]</a:t>
          </a:r>
          <a:endParaRPr lang="en-US" altLang="ja-JP" sz="1400">
            <a:latin typeface="BIZ UD明朝 Medium" panose="02020500000000000000" pitchFamily="17" charset="-128"/>
            <a:ea typeface="BIZ UD明朝 Medium" panose="02020500000000000000" pitchFamily="17" charset="-128"/>
            <a:cs typeface="Times New Roman" panose="02020603050405020304" pitchFamily="18" charset="0"/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184898</xdr:colOff>
      <xdr:row>22</xdr:row>
      <xdr:rowOff>47370</xdr:rowOff>
    </xdr:from>
    <xdr:to>
      <xdr:col>18</xdr:col>
      <xdr:colOff>2096</xdr:colOff>
      <xdr:row>49</xdr:row>
      <xdr:rowOff>47370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66FC17C-B627-4FA5-80D8-C95AB4921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466725</xdr:colOff>
      <xdr:row>0</xdr:row>
      <xdr:rowOff>92869</xdr:rowOff>
    </xdr:from>
    <xdr:to>
      <xdr:col>17</xdr:col>
      <xdr:colOff>150606</xdr:colOff>
      <xdr:row>11</xdr:row>
      <xdr:rowOff>267691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53796A8-D960-4EC8-A5A9-97CE76B5E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43825" y="92869"/>
          <a:ext cx="3455781" cy="2251272"/>
        </a:xfrm>
        <a:prstGeom prst="rect">
          <a:avLst/>
        </a:prstGeom>
      </xdr:spPr>
    </xdr:pic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0.00439</cdr:x>
      <cdr:y>0.00941</cdr:y>
    </cdr:from>
    <cdr:to>
      <cdr:x>0.16953</cdr:x>
      <cdr:y>0.08411</cdr:y>
    </cdr:to>
    <cdr:sp macro="" textlink="">
      <cdr:nvSpPr>
        <cdr:cNvPr id="2" name="テキスト ボックス 1"/>
        <cdr:cNvSpPr txBox="1"/>
      </cdr:nvSpPr>
      <cdr:spPr>
        <a:xfrm xmlns:a="http://schemas.openxmlformats.org/drawingml/2006/main">
          <a:off x="50462" y="43560"/>
          <a:ext cx="1898240" cy="3457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ja-JP" sz="1800" b="1">
              <a:solidFill>
                <a:srgbClr val="000099"/>
              </a:solidFill>
              <a:latin typeface="+mj-ea"/>
              <a:ea typeface="+mj-ea"/>
            </a:rPr>
            <a:t>102.2V</a:t>
          </a:r>
          <a:r>
            <a:rPr lang="ja-JP" altLang="en-US" sz="1800" b="1">
              <a:solidFill>
                <a:srgbClr val="000099"/>
              </a:solidFill>
              <a:latin typeface="+mj-ea"/>
              <a:ea typeface="+mj-ea"/>
            </a:rPr>
            <a:t>　</a:t>
          </a:r>
          <a:r>
            <a:rPr lang="en-US" altLang="ja-JP" sz="1800" b="1">
              <a:solidFill>
                <a:srgbClr val="000099"/>
              </a:solidFill>
              <a:latin typeface="+mj-ea"/>
              <a:ea typeface="+mj-ea"/>
            </a:rPr>
            <a:t>ECO(HI)</a:t>
          </a:r>
          <a:endParaRPr lang="ja-JP" altLang="en-US" sz="1800" b="1">
            <a:solidFill>
              <a:srgbClr val="000099"/>
            </a:solidFill>
            <a:latin typeface="+mj-ea"/>
            <a:ea typeface="+mj-ea"/>
          </a:endParaRPr>
        </a:p>
      </cdr:txBody>
    </cdr:sp>
  </cdr:relSizeAnchor>
  <cdr:relSizeAnchor xmlns:cdr="http://schemas.openxmlformats.org/drawingml/2006/chartDrawing">
    <cdr:from>
      <cdr:x>0.27844</cdr:x>
      <cdr:y>0.49182</cdr:y>
    </cdr:from>
    <cdr:to>
      <cdr:x>0.37585</cdr:x>
      <cdr:y>0.56323</cdr:y>
    </cdr:to>
    <cdr:sp macro="" textlink="">
      <cdr:nvSpPr>
        <cdr:cNvPr id="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200676" y="2276730"/>
          <a:ext cx="1119714" cy="33056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cdr:spPr>
      <cdr:txBody>
        <a:bodyPr xmlns:a="http://schemas.openxmlformats.org/drawingml/2006/main" wrap="square" lIns="36576" tIns="22860" rIns="36576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ja-JP" altLang="en-US" sz="1500" b="0" i="0" u="none" strike="noStrike" baseline="0">
              <a:solidFill>
                <a:srgbClr val="000000"/>
              </a:solidFill>
              <a:latin typeface="BIZ UD明朝 Medium" panose="02020500000000000000" pitchFamily="17" charset="-128"/>
              <a:ea typeface="BIZ UD明朝 Medium" panose="02020500000000000000" pitchFamily="17" charset="-128"/>
              <a:cs typeface="Times New Roman" panose="02020603050405020304" pitchFamily="18" charset="0"/>
            </a:rPr>
            <a:t>回転速度</a:t>
          </a:r>
          <a:endParaRPr lang="ja-JP" altLang="en-US">
            <a:latin typeface="BIZ UD明朝 Medium" panose="02020500000000000000" pitchFamily="17" charset="-128"/>
            <a:ea typeface="BIZ UD明朝 Medium" panose="02020500000000000000" pitchFamily="17" charset="-128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0.78993</cdr:x>
      <cdr:y>0.76412</cdr:y>
    </cdr:from>
    <cdr:to>
      <cdr:x>0.84844</cdr:x>
      <cdr:y>0.82812</cdr:y>
    </cdr:to>
    <cdr:sp macro="" textlink="">
      <cdr:nvSpPr>
        <cdr:cNvPr id="6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080110" y="3537247"/>
          <a:ext cx="672563" cy="296235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 w="28575">
          <a:solidFill>
            <a:srgbClr xmlns:mc="http://schemas.openxmlformats.org/markup-compatibility/2006" xmlns:a14="http://schemas.microsoft.com/office/drawing/2010/main" val="FF00FF" mc:Ignorable="a14" a14:legacySpreadsheetColorIndex="14"/>
          </a:solidFill>
          <a:miter lim="800000"/>
          <a:headEnd/>
          <a:tailEnd/>
        </a:ln>
      </cdr:spPr>
      <cdr:txBody>
        <a:bodyPr xmlns:a="http://schemas.openxmlformats.org/drawingml/2006/main" wrap="square" lIns="27432" tIns="22860" rIns="27432" bIns="22860" anchor="ctr" upright="1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ja-JP" altLang="en-US" sz="1500" b="0" i="0" u="none" strike="noStrike" baseline="0">
              <a:solidFill>
                <a:srgbClr val="000000"/>
              </a:solidFill>
              <a:latin typeface="BIZ UD明朝 Medium" panose="02020500000000000000" pitchFamily="17" charset="-128"/>
              <a:ea typeface="BIZ UD明朝 Medium" panose="02020500000000000000" pitchFamily="17" charset="-128"/>
              <a:cs typeface="Times New Roman" panose="02020603050405020304" pitchFamily="18" charset="0"/>
            </a:rPr>
            <a:t>トルク</a:t>
          </a:r>
          <a:endParaRPr lang="ja-JP" altLang="en-US">
            <a:latin typeface="BIZ UD明朝 Medium" panose="02020500000000000000" pitchFamily="17" charset="-128"/>
            <a:ea typeface="BIZ UD明朝 Medium" panose="02020500000000000000" pitchFamily="17" charset="-128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0.50055</cdr:x>
      <cdr:y>0.23134</cdr:y>
    </cdr:from>
    <cdr:to>
      <cdr:x>0.56064</cdr:x>
      <cdr:y>0.29534</cdr:y>
    </cdr:to>
    <cdr:sp macro="" textlink="">
      <cdr:nvSpPr>
        <cdr:cNvPr id="9" name="Text Box 3">
          <a:extLst xmlns:a="http://schemas.openxmlformats.org/drawingml/2006/main">
            <a:ext uri="{FF2B5EF4-FFF2-40B4-BE49-F238E27FC236}">
              <a16:creationId xmlns:a16="http://schemas.microsoft.com/office/drawing/2014/main" id="{CEEB7666-05B9-43F7-A976-12C923E53B3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53759" y="1070926"/>
          <a:ext cx="690725" cy="296235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cdr:spPr>
      <cdr:txBody>
        <a:bodyPr xmlns:a="http://schemas.openxmlformats.org/drawingml/2006/main" wrap="square" lIns="27432" tIns="22860" rIns="27432" bIns="22860" anchor="ctr" upright="1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ja-JP" altLang="en-US" sz="1500" b="0" i="0" u="none" strike="noStrike" baseline="0">
              <a:solidFill>
                <a:srgbClr val="000000"/>
              </a:solidFill>
              <a:latin typeface="BIZ UD明朝 Medium" panose="02020500000000000000" pitchFamily="17" charset="-128"/>
              <a:ea typeface="BIZ UD明朝 Medium" panose="02020500000000000000" pitchFamily="17" charset="-128"/>
              <a:cs typeface="Times New Roman" panose="02020603050405020304" pitchFamily="18" charset="0"/>
            </a:rPr>
            <a:t>効率</a:t>
          </a:r>
          <a:endParaRPr lang="ja-JP" altLang="en-US">
            <a:latin typeface="BIZ UD明朝 Medium" panose="02020500000000000000" pitchFamily="17" charset="-128"/>
            <a:ea typeface="BIZ UD明朝 Medium" panose="02020500000000000000" pitchFamily="17" charset="-128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0.96965</cdr:x>
      <cdr:y>0.29918</cdr:y>
    </cdr:from>
    <cdr:to>
      <cdr:x>1</cdr:x>
      <cdr:y>0.71903</cdr:y>
    </cdr:to>
    <cdr:sp macro="" textlink="">
      <cdr:nvSpPr>
        <cdr:cNvPr id="10" name="テキスト ボックス 1"/>
        <cdr:cNvSpPr txBox="1"/>
      </cdr:nvSpPr>
      <cdr:spPr>
        <a:xfrm xmlns:a="http://schemas.openxmlformats.org/drawingml/2006/main" rot="16200000">
          <a:off x="10348639" y="2182275"/>
          <a:ext cx="1943549" cy="3488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ja-JP" altLang="en-US" sz="1400">
              <a:latin typeface="游ゴシック" panose="020B0400000000000000" pitchFamily="50" charset="-128"/>
              <a:ea typeface="游ゴシック" panose="020B0400000000000000" pitchFamily="50" charset="-128"/>
              <a:cs typeface="Times New Roman" panose="02020603050405020304" pitchFamily="18" charset="0"/>
            </a:rPr>
            <a:t>効率</a:t>
          </a:r>
          <a:r>
            <a:rPr lang="en-US" altLang="ja-JP" sz="1400">
              <a:latin typeface="游ゴシック" panose="020B0400000000000000" pitchFamily="50" charset="-128"/>
              <a:ea typeface="游ゴシック" panose="020B0400000000000000" pitchFamily="50" charset="-128"/>
              <a:cs typeface="Times New Roman" panose="02020603050405020304" pitchFamily="18" charset="0"/>
            </a:rPr>
            <a:t> [%]</a:t>
          </a:r>
          <a:r>
            <a:rPr lang="ja-JP" altLang="en-US" sz="1400" baseline="0">
              <a:latin typeface="游ゴシック" panose="020B0400000000000000" pitchFamily="50" charset="-128"/>
              <a:ea typeface="游ゴシック" panose="020B0400000000000000" pitchFamily="50" charset="-128"/>
              <a:cs typeface="Times New Roman" panose="02020603050405020304" pitchFamily="18" charset="0"/>
            </a:rPr>
            <a:t>　　トルク</a:t>
          </a:r>
          <a:r>
            <a:rPr lang="en-US" altLang="ja-JP" sz="1400" baseline="0">
              <a:latin typeface="游ゴシック" panose="020B0400000000000000" pitchFamily="50" charset="-128"/>
              <a:ea typeface="游ゴシック" panose="020B0400000000000000" pitchFamily="50" charset="-128"/>
              <a:cs typeface="Times New Roman" panose="02020603050405020304" pitchFamily="18" charset="0"/>
            </a:rPr>
            <a:t>[N-m]</a:t>
          </a:r>
          <a:endParaRPr lang="en-US" altLang="ja-JP" sz="1400">
            <a:latin typeface="游ゴシック" panose="020B0400000000000000" pitchFamily="50" charset="-128"/>
            <a:ea typeface="游ゴシック" panose="020B0400000000000000" pitchFamily="50" charset="-128"/>
            <a:cs typeface="Times New Roman" panose="02020603050405020304" pitchFamily="18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28809-0CD6-47A4-9C88-AFC2AEE357F4}">
  <sheetPr>
    <tabColor rgb="FF00B0F0"/>
    <pageSetUpPr fitToPage="1"/>
  </sheetPr>
  <dimension ref="B1:W23"/>
  <sheetViews>
    <sheetView showGridLines="0" zoomScale="70" zoomScaleNormal="70" workbookViewId="0">
      <selection activeCell="T26" sqref="T26"/>
    </sheetView>
  </sheetViews>
  <sheetFormatPr defaultColWidth="9" defaultRowHeight="13.5" x14ac:dyDescent="0.15"/>
  <cols>
    <col min="1" max="1" width="2.5" style="1" customWidth="1"/>
    <col min="2" max="2" width="18.875" style="1" customWidth="1"/>
    <col min="3" max="3" width="8.125" style="1" customWidth="1"/>
    <col min="4" max="19" width="8.25" style="1" customWidth="1"/>
    <col min="20" max="20" width="8.125" style="1" customWidth="1"/>
    <col min="21" max="16384" width="9" style="1"/>
  </cols>
  <sheetData>
    <row r="1" spans="2:23" ht="14.25" x14ac:dyDescent="0.15">
      <c r="B1" s="3" t="s">
        <v>0</v>
      </c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2:23" ht="14.25" x14ac:dyDescent="0.15">
      <c r="B2" s="3"/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2:23" x14ac:dyDescent="0.15">
      <c r="B3" s="6" t="s">
        <v>1</v>
      </c>
      <c r="C3" s="7" t="s">
        <v>2</v>
      </c>
      <c r="D3" s="5"/>
      <c r="E3" s="5"/>
      <c r="F3" s="8"/>
      <c r="G3" s="5"/>
      <c r="H3" s="5"/>
      <c r="I3" s="5"/>
      <c r="J3" s="9"/>
      <c r="K3" s="5"/>
      <c r="L3" s="5"/>
      <c r="M3" s="5"/>
      <c r="N3" s="5"/>
      <c r="O3" s="5"/>
      <c r="P3" s="5"/>
      <c r="Q3" s="5"/>
      <c r="R3" s="5"/>
      <c r="S3" s="5"/>
      <c r="T3" s="46">
        <v>45184</v>
      </c>
      <c r="U3" s="46"/>
    </row>
    <row r="4" spans="2:23" x14ac:dyDescent="0.15">
      <c r="B4" s="6" t="s">
        <v>3</v>
      </c>
      <c r="C4" s="5" t="s">
        <v>4</v>
      </c>
      <c r="D4" s="5"/>
      <c r="E4" s="5"/>
      <c r="F4" s="5"/>
      <c r="G4" s="5"/>
      <c r="H4" s="47" t="s">
        <v>5</v>
      </c>
      <c r="I4" s="47"/>
      <c r="J4" s="47"/>
      <c r="K4" s="5"/>
      <c r="L4" s="5"/>
      <c r="M4" s="5"/>
      <c r="N4" s="5"/>
      <c r="O4" s="5"/>
      <c r="P4" s="5"/>
      <c r="Q4" s="11"/>
      <c r="R4" s="11"/>
      <c r="S4" s="5"/>
      <c r="T4" s="5"/>
      <c r="U4" s="5"/>
    </row>
    <row r="5" spans="2:23" x14ac:dyDescent="0.15">
      <c r="B5" s="6"/>
      <c r="C5" s="12"/>
      <c r="D5" s="5"/>
      <c r="E5" s="5"/>
      <c r="F5" s="5"/>
      <c r="G5" s="5"/>
      <c r="H5" s="48" t="s">
        <v>6</v>
      </c>
      <c r="I5" s="48"/>
      <c r="J5" s="10" t="s">
        <v>7</v>
      </c>
      <c r="K5" s="5"/>
      <c r="L5" s="5"/>
      <c r="M5" s="5"/>
      <c r="N5" s="5"/>
      <c r="O5" s="5"/>
      <c r="P5" s="5"/>
      <c r="Q5" s="11"/>
      <c r="R5" s="11"/>
      <c r="S5" s="5"/>
      <c r="T5" s="5"/>
      <c r="U5" s="5"/>
    </row>
    <row r="6" spans="2:23" x14ac:dyDescent="0.15">
      <c r="B6" s="13" t="s">
        <v>8</v>
      </c>
      <c r="C6" s="14"/>
      <c r="D6" s="5"/>
      <c r="E6" s="5"/>
      <c r="F6" s="5"/>
      <c r="G6" s="5"/>
      <c r="H6" s="48" t="s">
        <v>9</v>
      </c>
      <c r="I6" s="48"/>
      <c r="J6" s="10" t="s">
        <v>10</v>
      </c>
      <c r="K6" s="5"/>
      <c r="L6" s="5"/>
      <c r="M6" s="5"/>
      <c r="N6" s="5"/>
      <c r="O6" s="5"/>
      <c r="P6" s="5"/>
      <c r="Q6" s="11"/>
      <c r="R6" s="11"/>
      <c r="S6" s="5"/>
      <c r="T6" s="5"/>
      <c r="U6" s="5"/>
    </row>
    <row r="7" spans="2:23" x14ac:dyDescent="0.15">
      <c r="B7" s="13" t="s">
        <v>11</v>
      </c>
      <c r="C7" s="15" t="s">
        <v>12</v>
      </c>
      <c r="D7" s="5"/>
      <c r="E7" s="5"/>
      <c r="F7" s="5"/>
      <c r="G7" s="5"/>
      <c r="H7" s="48" t="s">
        <v>13</v>
      </c>
      <c r="I7" s="48"/>
      <c r="J7" s="10" t="s">
        <v>14</v>
      </c>
      <c r="K7" s="16"/>
      <c r="L7" s="5"/>
      <c r="M7" s="5"/>
      <c r="N7" s="5"/>
      <c r="O7" s="5"/>
      <c r="P7" s="5"/>
      <c r="Q7" s="11"/>
      <c r="R7" s="11"/>
      <c r="S7" s="5"/>
      <c r="T7" s="5"/>
      <c r="U7" s="5"/>
    </row>
    <row r="8" spans="2:23" x14ac:dyDescent="0.15">
      <c r="B8" s="13" t="s">
        <v>15</v>
      </c>
      <c r="C8" s="15">
        <v>0</v>
      </c>
      <c r="D8" s="5"/>
      <c r="E8" s="5"/>
      <c r="F8" s="5"/>
      <c r="G8" s="5"/>
      <c r="H8" s="5"/>
      <c r="I8" s="7"/>
      <c r="J8" s="5"/>
      <c r="K8" s="5"/>
      <c r="L8" s="5"/>
      <c r="M8" s="5"/>
      <c r="N8" s="5"/>
      <c r="O8" s="5"/>
      <c r="P8" s="5"/>
      <c r="Q8" s="11"/>
      <c r="R8" s="11"/>
      <c r="S8" s="5"/>
      <c r="T8" s="5"/>
      <c r="U8" s="5"/>
    </row>
    <row r="9" spans="2:23" x14ac:dyDescent="0.15">
      <c r="B9" s="6" t="s">
        <v>16</v>
      </c>
      <c r="C9" s="5" t="s">
        <v>17</v>
      </c>
      <c r="D9" s="5"/>
      <c r="E9" s="5"/>
      <c r="F9" s="5"/>
      <c r="G9" s="5"/>
      <c r="H9" s="49" t="s">
        <v>18</v>
      </c>
      <c r="I9" s="50"/>
      <c r="J9" s="51"/>
      <c r="K9" s="5"/>
      <c r="L9" s="5"/>
      <c r="M9" s="5"/>
      <c r="N9" s="5"/>
      <c r="O9" s="5"/>
      <c r="P9" s="5"/>
      <c r="Q9" s="11"/>
      <c r="R9" s="11"/>
      <c r="S9" s="5"/>
      <c r="T9" s="5"/>
      <c r="U9" s="5"/>
    </row>
    <row r="10" spans="2:23" x14ac:dyDescent="0.15">
      <c r="B10" s="17" t="s">
        <v>19</v>
      </c>
      <c r="C10" s="18">
        <v>1</v>
      </c>
      <c r="D10" s="5"/>
      <c r="E10" s="5"/>
      <c r="F10" s="5"/>
      <c r="G10" s="5"/>
      <c r="H10" s="42" t="s">
        <v>20</v>
      </c>
      <c r="I10" s="43"/>
      <c r="J10" s="19" t="s">
        <v>21</v>
      </c>
      <c r="K10" s="5"/>
      <c r="L10" s="5"/>
      <c r="M10" s="5"/>
      <c r="N10" s="5"/>
      <c r="O10" s="5"/>
      <c r="P10" s="5"/>
      <c r="Q10" s="11"/>
      <c r="R10" s="11"/>
      <c r="S10" s="5"/>
      <c r="T10" s="5"/>
      <c r="U10" s="5"/>
    </row>
    <row r="11" spans="2:23" ht="27" customHeight="1" x14ac:dyDescent="0.15">
      <c r="B11" s="5"/>
      <c r="C11" s="5"/>
      <c r="D11" s="5"/>
      <c r="E11" s="5"/>
      <c r="F11" s="5"/>
      <c r="G11" s="5"/>
      <c r="H11" s="42" t="s">
        <v>22</v>
      </c>
      <c r="I11" s="43"/>
      <c r="J11" s="19" t="s">
        <v>21</v>
      </c>
      <c r="K11" s="5"/>
      <c r="L11" s="5"/>
      <c r="M11" s="5"/>
      <c r="N11" s="5"/>
      <c r="O11" s="5"/>
      <c r="P11" s="5"/>
      <c r="Q11" s="11"/>
      <c r="R11" s="11"/>
      <c r="S11" s="5"/>
      <c r="T11" s="5"/>
      <c r="U11" s="5"/>
    </row>
    <row r="12" spans="2:23" ht="27.75" customHeight="1" x14ac:dyDescent="0.15">
      <c r="B12" s="5"/>
      <c r="C12" s="5"/>
      <c r="D12" s="5"/>
      <c r="E12" s="5"/>
      <c r="F12" s="5"/>
      <c r="G12" s="5"/>
      <c r="H12" s="44" t="s">
        <v>13</v>
      </c>
      <c r="I12" s="44"/>
      <c r="J12" s="19" t="s">
        <v>23</v>
      </c>
      <c r="K12" s="16"/>
      <c r="L12" s="5"/>
      <c r="M12" s="5"/>
      <c r="N12" s="5"/>
      <c r="O12" s="5"/>
      <c r="P12" s="5"/>
      <c r="Q12" s="11"/>
      <c r="R12" s="11"/>
      <c r="S12" s="5"/>
      <c r="T12" s="5"/>
      <c r="U12" s="5"/>
    </row>
    <row r="13" spans="2:23" ht="27.75" customHeight="1" x14ac:dyDescent="0.15">
      <c r="B13" s="5"/>
      <c r="C13" s="5"/>
      <c r="D13" s="5"/>
      <c r="E13" s="5"/>
      <c r="F13" s="5"/>
      <c r="G13" s="5"/>
      <c r="H13" s="16"/>
      <c r="I13" s="16"/>
      <c r="J13" s="16"/>
      <c r="K13" s="5"/>
      <c r="L13" s="5"/>
      <c r="M13" s="5"/>
      <c r="N13" s="5"/>
      <c r="O13" s="5"/>
      <c r="P13" s="5"/>
      <c r="Q13" s="11"/>
      <c r="R13" s="11"/>
      <c r="S13" s="5"/>
      <c r="T13" s="5"/>
      <c r="U13" s="5" t="s">
        <v>43</v>
      </c>
    </row>
    <row r="14" spans="2:23" ht="14.25" thickBot="1" x14ac:dyDescent="0.2">
      <c r="B14" s="45" t="s">
        <v>27</v>
      </c>
      <c r="C14" s="45"/>
      <c r="D14" s="20">
        <v>78.585014999999999</v>
      </c>
      <c r="E14" s="20">
        <v>78.424030333333334</v>
      </c>
      <c r="F14" s="20">
        <v>78.114659799999998</v>
      </c>
      <c r="G14" s="20">
        <v>77.710973249999995</v>
      </c>
      <c r="H14" s="20">
        <v>77.335633999999999</v>
      </c>
      <c r="I14" s="20">
        <v>76.957669999999993</v>
      </c>
      <c r="J14" s="20">
        <v>76.573406599999998</v>
      </c>
      <c r="K14" s="20">
        <v>75.802779999999998</v>
      </c>
      <c r="L14" s="20">
        <v>75.146592499999997</v>
      </c>
      <c r="M14" s="20">
        <v>74.399413666666661</v>
      </c>
      <c r="N14" s="20">
        <v>73.744975999999994</v>
      </c>
      <c r="O14" s="20">
        <v>73.162281499999992</v>
      </c>
      <c r="P14" s="20">
        <v>72.539690800000002</v>
      </c>
      <c r="Q14" s="20">
        <v>71.907651000000001</v>
      </c>
      <c r="R14" s="20">
        <v>70.528782333333339</v>
      </c>
      <c r="S14" s="20">
        <v>69.259803200000007</v>
      </c>
      <c r="T14" s="21" t="s">
        <v>28</v>
      </c>
      <c r="U14" s="40">
        <f>P14*(U15/P15)</f>
        <v>64.772651337678099</v>
      </c>
      <c r="V14" s="40" t="s">
        <v>46</v>
      </c>
    </row>
    <row r="15" spans="2:23" x14ac:dyDescent="0.15">
      <c r="B15" s="22" t="s">
        <v>29</v>
      </c>
      <c r="C15" s="23" t="s">
        <v>30</v>
      </c>
      <c r="D15" s="24">
        <v>102.19</v>
      </c>
      <c r="E15" s="25">
        <v>102.18666666666667</v>
      </c>
      <c r="F15" s="25">
        <v>102.16399999999999</v>
      </c>
      <c r="G15" s="25">
        <v>102.14750000000001</v>
      </c>
      <c r="H15" s="25">
        <v>102.22</v>
      </c>
      <c r="I15" s="25">
        <v>102.21999999999998</v>
      </c>
      <c r="J15" s="25">
        <v>102.20399999999999</v>
      </c>
      <c r="K15" s="25">
        <v>102.17500000000001</v>
      </c>
      <c r="L15" s="25">
        <v>102.2225</v>
      </c>
      <c r="M15" s="25">
        <v>102.18333333333334</v>
      </c>
      <c r="N15" s="25">
        <v>102.15</v>
      </c>
      <c r="O15" s="25">
        <v>102.215</v>
      </c>
      <c r="P15" s="25">
        <v>102.19199999999999</v>
      </c>
      <c r="Q15" s="25">
        <v>102.16333333333334</v>
      </c>
      <c r="R15" s="25">
        <v>102.18</v>
      </c>
      <c r="S15" s="26">
        <v>102.19199999999999</v>
      </c>
      <c r="T15" s="39"/>
      <c r="U15" s="5">
        <f>W15*W16</f>
        <v>91.25</v>
      </c>
      <c r="V15" s="1" t="s">
        <v>44</v>
      </c>
      <c r="W15" s="1">
        <v>3.65</v>
      </c>
    </row>
    <row r="16" spans="2:23" x14ac:dyDescent="0.15">
      <c r="B16" s="28" t="s">
        <v>31</v>
      </c>
      <c r="C16" s="29" t="s">
        <v>32</v>
      </c>
      <c r="D16" s="30">
        <v>0.65925</v>
      </c>
      <c r="E16" s="31">
        <v>1.1023333333333334</v>
      </c>
      <c r="F16" s="31">
        <v>1.9318000000000002</v>
      </c>
      <c r="G16" s="31">
        <v>2.9372500000000001</v>
      </c>
      <c r="H16" s="31">
        <v>4.109</v>
      </c>
      <c r="I16" s="31">
        <v>5.0226666666666668</v>
      </c>
      <c r="J16" s="31">
        <v>6.0534000000000008</v>
      </c>
      <c r="K16" s="31">
        <v>8.0494999999999983</v>
      </c>
      <c r="L16" s="31">
        <v>10.008750000000001</v>
      </c>
      <c r="M16" s="31">
        <v>12.090333333333334</v>
      </c>
      <c r="N16" s="31">
        <v>14.003800000000002</v>
      </c>
      <c r="O16" s="31">
        <v>15.994499999999999</v>
      </c>
      <c r="P16" s="31">
        <v>17.935400000000001</v>
      </c>
      <c r="Q16" s="31">
        <v>19.97666666666667</v>
      </c>
      <c r="R16" s="31">
        <v>24.964333333333332</v>
      </c>
      <c r="S16" s="32">
        <v>30.052000000000003</v>
      </c>
      <c r="T16" s="39"/>
      <c r="U16" s="5"/>
      <c r="V16" s="1" t="s">
        <v>45</v>
      </c>
      <c r="W16" s="1">
        <v>25</v>
      </c>
    </row>
    <row r="17" spans="2:21" x14ac:dyDescent="0.15">
      <c r="B17" s="28" t="s">
        <v>33</v>
      </c>
      <c r="C17" s="29" t="s">
        <v>34</v>
      </c>
      <c r="D17" s="30">
        <v>67.375</v>
      </c>
      <c r="E17" s="31">
        <v>112.60000000000001</v>
      </c>
      <c r="F17" s="31">
        <v>197.38</v>
      </c>
      <c r="G17" s="31">
        <v>300</v>
      </c>
      <c r="H17" s="31">
        <v>420</v>
      </c>
      <c r="I17" s="31">
        <v>513.36666666666667</v>
      </c>
      <c r="J17" s="31">
        <v>618.66000000000008</v>
      </c>
      <c r="K17" s="31">
        <v>822.4</v>
      </c>
      <c r="L17" s="31">
        <v>1023.075</v>
      </c>
      <c r="M17" s="31">
        <v>1235.4000000000001</v>
      </c>
      <c r="N17" s="31">
        <v>1430.5</v>
      </c>
      <c r="O17" s="31">
        <v>1634.85</v>
      </c>
      <c r="P17" s="31">
        <v>1832.8399999999997</v>
      </c>
      <c r="Q17" s="31">
        <v>2040.7666666666667</v>
      </c>
      <c r="R17" s="31">
        <v>2550.6333333333332</v>
      </c>
      <c r="S17" s="32">
        <v>3070.7</v>
      </c>
      <c r="T17" s="39"/>
      <c r="U17" s="5"/>
    </row>
    <row r="18" spans="2:21" x14ac:dyDescent="0.15">
      <c r="B18" s="28" t="s">
        <v>35</v>
      </c>
      <c r="C18" s="29" t="s">
        <v>25</v>
      </c>
      <c r="D18" s="30">
        <v>748.5</v>
      </c>
      <c r="E18" s="31">
        <v>746.9666666666667</v>
      </c>
      <c r="F18" s="31">
        <v>744.02</v>
      </c>
      <c r="G18" s="31">
        <v>740.17499999999995</v>
      </c>
      <c r="H18" s="31">
        <v>736.6</v>
      </c>
      <c r="I18" s="31">
        <v>733</v>
      </c>
      <c r="J18" s="31">
        <v>729.33999999999992</v>
      </c>
      <c r="K18" s="31">
        <v>722</v>
      </c>
      <c r="L18" s="31">
        <v>715.75</v>
      </c>
      <c r="M18" s="31">
        <v>708.63333333333333</v>
      </c>
      <c r="N18" s="31">
        <v>702.4</v>
      </c>
      <c r="O18" s="31">
        <v>696.84999999999991</v>
      </c>
      <c r="P18" s="31">
        <v>690.92</v>
      </c>
      <c r="Q18" s="31">
        <v>684.9</v>
      </c>
      <c r="R18" s="31">
        <v>671.76666666666677</v>
      </c>
      <c r="S18" s="32">
        <v>659.68000000000006</v>
      </c>
      <c r="T18" s="39"/>
      <c r="U18" s="5"/>
    </row>
    <row r="19" spans="2:21" x14ac:dyDescent="0.15">
      <c r="B19" s="28" t="s">
        <v>36</v>
      </c>
      <c r="C19" s="29" t="s">
        <v>26</v>
      </c>
      <c r="D19" s="30">
        <v>0</v>
      </c>
      <c r="E19" s="31">
        <v>0.58927149999999995</v>
      </c>
      <c r="F19" s="31">
        <v>1.6872715</v>
      </c>
      <c r="G19" s="31">
        <v>3.0067714999999997</v>
      </c>
      <c r="H19" s="31">
        <v>4.5392714999999999</v>
      </c>
      <c r="I19" s="31">
        <v>5.785938166666666</v>
      </c>
      <c r="J19" s="31">
        <v>7.1652714999999993</v>
      </c>
      <c r="K19" s="31">
        <v>9.8792714999999998</v>
      </c>
      <c r="L19" s="31">
        <v>12.556771499999998</v>
      </c>
      <c r="M19" s="31">
        <v>15.435938166666665</v>
      </c>
      <c r="N19" s="31">
        <v>18.113271499999996</v>
      </c>
      <c r="O19" s="31">
        <v>20.919271500000001</v>
      </c>
      <c r="P19" s="31">
        <v>23.683271500000004</v>
      </c>
      <c r="Q19" s="31">
        <v>26.602604833333334</v>
      </c>
      <c r="R19" s="31">
        <v>33.785938166666668</v>
      </c>
      <c r="S19" s="32">
        <v>41.1452715</v>
      </c>
      <c r="T19" s="39"/>
      <c r="U19" s="5"/>
    </row>
    <row r="20" spans="2:21" x14ac:dyDescent="0.15">
      <c r="B20" s="28" t="s">
        <v>37</v>
      </c>
      <c r="C20" s="29" t="s">
        <v>38</v>
      </c>
      <c r="D20" s="30">
        <v>0</v>
      </c>
      <c r="E20" s="31">
        <v>46.094093337136329</v>
      </c>
      <c r="F20" s="31">
        <v>131.46138358864948</v>
      </c>
      <c r="G20" s="31">
        <v>233.05769959942793</v>
      </c>
      <c r="H20" s="31">
        <v>350.14384116755593</v>
      </c>
      <c r="I20" s="31">
        <v>444.12618648795581</v>
      </c>
      <c r="J20" s="31">
        <v>547.256970082772</v>
      </c>
      <c r="K20" s="31">
        <v>746.94863219773765</v>
      </c>
      <c r="L20" s="31">
        <v>941.16976267749885</v>
      </c>
      <c r="M20" s="31">
        <v>1145.4686969054665</v>
      </c>
      <c r="N20" s="31">
        <v>1332.3245107812886</v>
      </c>
      <c r="O20" s="31">
        <v>1526.5621100185751</v>
      </c>
      <c r="P20" s="31">
        <v>1713.5551083001274</v>
      </c>
      <c r="Q20" s="31">
        <v>1908.0069288024756</v>
      </c>
      <c r="R20" s="31">
        <v>2376.7475289078375</v>
      </c>
      <c r="S20" s="32">
        <v>2842.3782275540052</v>
      </c>
      <c r="T20" s="39"/>
      <c r="U20" s="5"/>
    </row>
    <row r="21" spans="2:21" ht="14.25" thickBot="1" x14ac:dyDescent="0.2">
      <c r="B21" s="33" t="s">
        <v>24</v>
      </c>
      <c r="C21" s="34" t="s">
        <v>39</v>
      </c>
      <c r="D21" s="35">
        <v>0</v>
      </c>
      <c r="E21" s="36">
        <v>40.936139731026934</v>
      </c>
      <c r="F21" s="36">
        <v>66.603193630889393</v>
      </c>
      <c r="G21" s="36">
        <v>77.685899866475978</v>
      </c>
      <c r="H21" s="36">
        <v>83.367581230370462</v>
      </c>
      <c r="I21" s="36">
        <v>86.512470583979436</v>
      </c>
      <c r="J21" s="36">
        <v>88.458437604301537</v>
      </c>
      <c r="K21" s="36">
        <v>90.825465977351371</v>
      </c>
      <c r="L21" s="36">
        <v>91.994209874886863</v>
      </c>
      <c r="M21" s="36">
        <v>92.720470851988537</v>
      </c>
      <c r="N21" s="36">
        <v>93.136980830568945</v>
      </c>
      <c r="O21" s="36">
        <v>93.376279782155862</v>
      </c>
      <c r="P21" s="36">
        <v>93.491800064387917</v>
      </c>
      <c r="Q21" s="36">
        <v>93.494614546941946</v>
      </c>
      <c r="R21" s="36">
        <v>93.182642046073695</v>
      </c>
      <c r="S21" s="37">
        <v>92.564504105057651</v>
      </c>
      <c r="T21" s="39"/>
      <c r="U21" s="5"/>
    </row>
    <row r="22" spans="2:21" x14ac:dyDescent="0.15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2:21" x14ac:dyDescent="0.15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</sheetData>
  <mergeCells count="10">
    <mergeCell ref="H10:I10"/>
    <mergeCell ref="H11:I11"/>
    <mergeCell ref="H12:I12"/>
    <mergeCell ref="B14:C14"/>
    <mergeCell ref="T3:U3"/>
    <mergeCell ref="H4:J4"/>
    <mergeCell ref="H5:I5"/>
    <mergeCell ref="H6:I6"/>
    <mergeCell ref="H7:I7"/>
    <mergeCell ref="H9:J9"/>
  </mergeCells>
  <phoneticPr fontId="2"/>
  <pageMargins left="0.25" right="0.25" top="0.75" bottom="0.75" header="0.3" footer="0.3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FC509-98B4-4202-A2ED-25D7153799A9}">
  <sheetPr>
    <tabColor rgb="FF00B0F0"/>
    <pageSetUpPr fitToPage="1"/>
  </sheetPr>
  <dimension ref="B1:W22"/>
  <sheetViews>
    <sheetView showGridLines="0" zoomScale="70" zoomScaleNormal="70" workbookViewId="0">
      <selection activeCell="X18" sqref="X18"/>
    </sheetView>
  </sheetViews>
  <sheetFormatPr defaultColWidth="9" defaultRowHeight="13.5" x14ac:dyDescent="0.15"/>
  <cols>
    <col min="1" max="1" width="2.5" style="1" customWidth="1"/>
    <col min="2" max="2" width="18.875" style="1" customWidth="1"/>
    <col min="3" max="3" width="8.125" style="1" customWidth="1"/>
    <col min="4" max="19" width="8.25" style="1" customWidth="1"/>
    <col min="20" max="20" width="8.125" style="1" customWidth="1"/>
    <col min="21" max="16384" width="9" style="1"/>
  </cols>
  <sheetData>
    <row r="1" spans="2:23" ht="14.25" x14ac:dyDescent="0.15">
      <c r="B1" s="3" t="s">
        <v>0</v>
      </c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2:23" ht="14.25" x14ac:dyDescent="0.15">
      <c r="B2" s="3"/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2:23" x14ac:dyDescent="0.15">
      <c r="B3" s="6" t="s">
        <v>1</v>
      </c>
      <c r="C3" s="7" t="s">
        <v>2</v>
      </c>
      <c r="D3" s="5"/>
      <c r="E3" s="5"/>
      <c r="F3" s="8"/>
      <c r="G3" s="5"/>
      <c r="H3" s="5"/>
      <c r="I3" s="5"/>
      <c r="J3" s="9"/>
      <c r="K3" s="5"/>
      <c r="L3" s="5"/>
      <c r="M3" s="5"/>
      <c r="N3" s="5"/>
      <c r="O3" s="5"/>
      <c r="P3" s="5"/>
      <c r="Q3" s="5"/>
      <c r="R3" s="5"/>
      <c r="S3" s="5"/>
      <c r="T3" s="46">
        <v>45184</v>
      </c>
      <c r="U3" s="46"/>
    </row>
    <row r="4" spans="2:23" x14ac:dyDescent="0.15">
      <c r="B4" s="6" t="s">
        <v>3</v>
      </c>
      <c r="C4" s="5" t="s">
        <v>4</v>
      </c>
      <c r="D4" s="5"/>
      <c r="E4" s="5"/>
      <c r="F4" s="5"/>
      <c r="G4" s="5"/>
      <c r="H4" s="47" t="s">
        <v>5</v>
      </c>
      <c r="I4" s="47"/>
      <c r="J4" s="47"/>
      <c r="K4" s="5"/>
      <c r="L4" s="5"/>
      <c r="M4" s="5"/>
      <c r="N4" s="5"/>
      <c r="O4" s="5"/>
      <c r="P4" s="5"/>
      <c r="Q4" s="11"/>
      <c r="R4" s="11"/>
      <c r="S4" s="5"/>
      <c r="T4" s="5"/>
      <c r="U4" s="5"/>
    </row>
    <row r="5" spans="2:23" x14ac:dyDescent="0.15">
      <c r="B5" s="6"/>
      <c r="C5" s="12"/>
      <c r="D5" s="5"/>
      <c r="E5" s="5"/>
      <c r="F5" s="5"/>
      <c r="G5" s="5"/>
      <c r="H5" s="48" t="s">
        <v>6</v>
      </c>
      <c r="I5" s="48"/>
      <c r="J5" s="10" t="s">
        <v>7</v>
      </c>
      <c r="K5" s="5"/>
      <c r="L5" s="5"/>
      <c r="M5" s="5"/>
      <c r="N5" s="5"/>
      <c r="O5" s="5"/>
      <c r="P5" s="5"/>
      <c r="Q5" s="11"/>
      <c r="R5" s="11"/>
      <c r="S5" s="5"/>
      <c r="T5" s="5"/>
      <c r="U5" s="5"/>
    </row>
    <row r="6" spans="2:23" x14ac:dyDescent="0.15">
      <c r="B6" s="13" t="s">
        <v>8</v>
      </c>
      <c r="C6" s="14"/>
      <c r="D6" s="5"/>
      <c r="E6" s="5"/>
      <c r="F6" s="5"/>
      <c r="G6" s="5"/>
      <c r="H6" s="48" t="s">
        <v>9</v>
      </c>
      <c r="I6" s="48"/>
      <c r="J6" s="10" t="s">
        <v>10</v>
      </c>
      <c r="K6" s="5"/>
      <c r="L6" s="5"/>
      <c r="M6" s="5"/>
      <c r="N6" s="5"/>
      <c r="O6" s="5"/>
      <c r="P6" s="5"/>
      <c r="Q6" s="11"/>
      <c r="R6" s="11"/>
      <c r="S6" s="5"/>
      <c r="T6" s="5"/>
      <c r="U6" s="5"/>
    </row>
    <row r="7" spans="2:23" x14ac:dyDescent="0.15">
      <c r="B7" s="13" t="s">
        <v>11</v>
      </c>
      <c r="C7" s="15" t="s">
        <v>12</v>
      </c>
      <c r="D7" s="5"/>
      <c r="E7" s="5"/>
      <c r="F7" s="5"/>
      <c r="G7" s="5"/>
      <c r="H7" s="48" t="s">
        <v>13</v>
      </c>
      <c r="I7" s="48"/>
      <c r="J7" s="10" t="s">
        <v>14</v>
      </c>
      <c r="K7" s="16"/>
      <c r="L7" s="5"/>
      <c r="M7" s="5"/>
      <c r="N7" s="5"/>
      <c r="O7" s="5"/>
      <c r="P7" s="5"/>
      <c r="Q7" s="11"/>
      <c r="R7" s="11"/>
      <c r="S7" s="5"/>
      <c r="T7" s="5"/>
      <c r="U7" s="5"/>
    </row>
    <row r="8" spans="2:23" x14ac:dyDescent="0.15">
      <c r="B8" s="13" t="s">
        <v>15</v>
      </c>
      <c r="C8" s="15">
        <v>0</v>
      </c>
      <c r="D8" s="5"/>
      <c r="E8" s="5"/>
      <c r="F8" s="5"/>
      <c r="G8" s="5"/>
      <c r="H8" s="5"/>
      <c r="I8" s="7"/>
      <c r="J8" s="5"/>
      <c r="K8" s="5"/>
      <c r="L8" s="5"/>
      <c r="M8" s="5"/>
      <c r="N8" s="5"/>
      <c r="O8" s="5"/>
      <c r="P8" s="5"/>
      <c r="Q8" s="11"/>
      <c r="R8" s="11"/>
      <c r="S8" s="5"/>
      <c r="T8" s="5"/>
      <c r="U8" s="5"/>
    </row>
    <row r="9" spans="2:23" x14ac:dyDescent="0.15">
      <c r="B9" s="6" t="s">
        <v>16</v>
      </c>
      <c r="C9" s="5" t="s">
        <v>40</v>
      </c>
      <c r="D9" s="5"/>
      <c r="E9" s="5"/>
      <c r="F9" s="5"/>
      <c r="G9" s="5"/>
      <c r="H9" s="49" t="s">
        <v>18</v>
      </c>
      <c r="I9" s="50"/>
      <c r="J9" s="51"/>
      <c r="K9" s="5"/>
      <c r="L9" s="5"/>
      <c r="M9" s="5"/>
      <c r="N9" s="5"/>
      <c r="O9" s="5"/>
      <c r="P9" s="5"/>
      <c r="Q9" s="11"/>
      <c r="R9" s="11"/>
      <c r="S9" s="5"/>
      <c r="T9" s="5"/>
      <c r="U9" s="5"/>
    </row>
    <row r="10" spans="2:23" x14ac:dyDescent="0.15">
      <c r="B10" s="17" t="s">
        <v>19</v>
      </c>
      <c r="C10" s="18">
        <v>1</v>
      </c>
      <c r="D10" s="5"/>
      <c r="E10" s="5"/>
      <c r="F10" s="5"/>
      <c r="G10" s="5"/>
      <c r="H10" s="42" t="s">
        <v>20</v>
      </c>
      <c r="I10" s="43"/>
      <c r="J10" s="19" t="s">
        <v>21</v>
      </c>
      <c r="K10" s="5"/>
      <c r="L10" s="5"/>
      <c r="M10" s="5"/>
      <c r="N10" s="5"/>
      <c r="O10" s="5"/>
      <c r="P10" s="5"/>
      <c r="Q10" s="11"/>
      <c r="R10" s="11"/>
      <c r="S10" s="5"/>
      <c r="T10" s="5"/>
      <c r="U10" s="5"/>
    </row>
    <row r="11" spans="2:23" ht="27" customHeight="1" x14ac:dyDescent="0.15">
      <c r="B11" s="5"/>
      <c r="C11" s="5"/>
      <c r="D11" s="5"/>
      <c r="E11" s="5"/>
      <c r="F11" s="5"/>
      <c r="G11" s="5"/>
      <c r="H11" s="42" t="s">
        <v>22</v>
      </c>
      <c r="I11" s="43"/>
      <c r="J11" s="19" t="s">
        <v>21</v>
      </c>
      <c r="K11" s="5"/>
      <c r="L11" s="5"/>
      <c r="M11" s="5"/>
      <c r="N11" s="5"/>
      <c r="O11" s="5"/>
      <c r="P11" s="5"/>
      <c r="Q11" s="11"/>
      <c r="R11" s="11"/>
      <c r="S11" s="5"/>
      <c r="T11" s="5"/>
      <c r="U11" s="5"/>
    </row>
    <row r="12" spans="2:23" ht="27.75" customHeight="1" x14ac:dyDescent="0.15">
      <c r="B12" s="5"/>
      <c r="C12" s="5"/>
      <c r="D12" s="5"/>
      <c r="E12" s="5"/>
      <c r="F12" s="5"/>
      <c r="G12" s="5"/>
      <c r="H12" s="44" t="s">
        <v>13</v>
      </c>
      <c r="I12" s="44"/>
      <c r="J12" s="19" t="s">
        <v>23</v>
      </c>
      <c r="K12" s="16"/>
      <c r="L12" s="5"/>
      <c r="M12" s="5"/>
      <c r="N12" s="5"/>
      <c r="O12" s="5"/>
      <c r="P12" s="5"/>
      <c r="Q12" s="11"/>
      <c r="R12" s="11"/>
      <c r="S12" s="5"/>
      <c r="T12" s="5"/>
      <c r="U12" s="5"/>
    </row>
    <row r="13" spans="2:23" ht="27.75" customHeight="1" x14ac:dyDescent="0.15">
      <c r="B13" s="5"/>
      <c r="C13" s="5"/>
      <c r="D13" s="5"/>
      <c r="E13" s="5"/>
      <c r="F13" s="5"/>
      <c r="G13" s="5"/>
      <c r="H13" s="16"/>
      <c r="I13" s="16"/>
      <c r="J13" s="16"/>
      <c r="K13" s="5"/>
      <c r="L13" s="5"/>
      <c r="M13" s="5"/>
      <c r="N13" s="5"/>
      <c r="O13" s="5"/>
      <c r="P13" s="5"/>
      <c r="Q13" s="11"/>
      <c r="R13" s="11"/>
      <c r="S13" s="5"/>
      <c r="T13" s="5"/>
      <c r="U13" s="5"/>
    </row>
    <row r="14" spans="2:23" ht="14.25" thickBot="1" x14ac:dyDescent="0.2">
      <c r="B14" s="45" t="s">
        <v>27</v>
      </c>
      <c r="C14" s="45"/>
      <c r="D14" s="20">
        <v>111.81435</v>
      </c>
      <c r="E14" s="20">
        <v>111.66036466666667</v>
      </c>
      <c r="F14" s="20">
        <v>111.61486900000001</v>
      </c>
      <c r="G14" s="20">
        <v>111.30514850000002</v>
      </c>
      <c r="H14" s="20">
        <v>110.86244066666667</v>
      </c>
      <c r="I14" s="20">
        <v>110.41798300000001</v>
      </c>
      <c r="J14" s="20">
        <v>110.02602033333331</v>
      </c>
      <c r="K14" s="20">
        <v>109.17560133333335</v>
      </c>
      <c r="L14" s="20">
        <v>108.43629675000001</v>
      </c>
      <c r="M14" s="20">
        <v>107.63574800000001</v>
      </c>
      <c r="N14" s="20">
        <v>106.8745705</v>
      </c>
      <c r="O14" s="20">
        <v>106.20000974999999</v>
      </c>
      <c r="P14" s="20">
        <v>105.48345300000001</v>
      </c>
      <c r="Q14" s="20">
        <v>104.738024</v>
      </c>
      <c r="R14" s="20">
        <v>103.11592850000001</v>
      </c>
      <c r="S14" s="20">
        <v>101.60932199999998</v>
      </c>
      <c r="T14" s="21" t="s">
        <v>28</v>
      </c>
      <c r="U14" s="41">
        <f>S14*(U15/S15)</f>
        <v>90.73740628771813</v>
      </c>
      <c r="V14" s="40" t="s">
        <v>46</v>
      </c>
    </row>
    <row r="15" spans="2:23" x14ac:dyDescent="0.15">
      <c r="B15" s="22" t="s">
        <v>29</v>
      </c>
      <c r="C15" s="23" t="s">
        <v>30</v>
      </c>
      <c r="D15" s="24">
        <v>102.18</v>
      </c>
      <c r="E15" s="25">
        <v>102.15333333333332</v>
      </c>
      <c r="F15" s="25">
        <v>102.15333333333335</v>
      </c>
      <c r="G15" s="25">
        <v>102.22749999999999</v>
      </c>
      <c r="H15" s="25">
        <v>102.21666666666665</v>
      </c>
      <c r="I15" s="25">
        <v>102.196</v>
      </c>
      <c r="J15" s="25">
        <v>102.19</v>
      </c>
      <c r="K15" s="25">
        <v>102.15000000000002</v>
      </c>
      <c r="L15" s="25">
        <v>102.2525</v>
      </c>
      <c r="M15" s="25">
        <v>102.19799999999999</v>
      </c>
      <c r="N15" s="25">
        <v>102.17</v>
      </c>
      <c r="O15" s="25">
        <v>102.23</v>
      </c>
      <c r="P15" s="25">
        <v>102.2025</v>
      </c>
      <c r="Q15" s="25">
        <v>102.14</v>
      </c>
      <c r="R15" s="25">
        <v>102.16499999999999</v>
      </c>
      <c r="S15" s="26">
        <v>102.18333333333334</v>
      </c>
      <c r="T15" s="39"/>
      <c r="U15" s="5">
        <f>W15*W16</f>
        <v>91.25</v>
      </c>
      <c r="V15" s="1" t="s">
        <v>44</v>
      </c>
      <c r="W15" s="1">
        <v>3.65</v>
      </c>
    </row>
    <row r="16" spans="2:23" x14ac:dyDescent="0.15">
      <c r="B16" s="28" t="s">
        <v>31</v>
      </c>
      <c r="C16" s="29" t="s">
        <v>32</v>
      </c>
      <c r="D16" s="30">
        <v>1.1140000000000001</v>
      </c>
      <c r="E16" s="31">
        <v>1.7833333333333334</v>
      </c>
      <c r="F16" s="31">
        <v>1.9983333333333333</v>
      </c>
      <c r="G16" s="31">
        <v>2.9605000000000001</v>
      </c>
      <c r="H16" s="31">
        <v>3.9956666666666667</v>
      </c>
      <c r="I16" s="31">
        <v>5.0460000000000003</v>
      </c>
      <c r="J16" s="31">
        <v>6.0386666666666668</v>
      </c>
      <c r="K16" s="31">
        <v>7.9883333333333333</v>
      </c>
      <c r="L16" s="31">
        <v>10.090249999999999</v>
      </c>
      <c r="M16" s="31">
        <v>12.045200000000001</v>
      </c>
      <c r="N16" s="31">
        <v>13.969999999999999</v>
      </c>
      <c r="O16" s="31">
        <v>16.0015</v>
      </c>
      <c r="P16" s="31">
        <v>17.965250000000001</v>
      </c>
      <c r="Q16" s="31">
        <v>20.015000000000001</v>
      </c>
      <c r="R16" s="31">
        <v>24.982499999999998</v>
      </c>
      <c r="S16" s="32">
        <v>29.960666666666668</v>
      </c>
      <c r="T16" s="39"/>
      <c r="U16" s="5"/>
      <c r="V16" s="1" t="s">
        <v>45</v>
      </c>
      <c r="W16" s="1">
        <v>25</v>
      </c>
    </row>
    <row r="17" spans="2:21" x14ac:dyDescent="0.15">
      <c r="B17" s="28" t="s">
        <v>33</v>
      </c>
      <c r="C17" s="29" t="s">
        <v>34</v>
      </c>
      <c r="D17" s="30">
        <v>113.75</v>
      </c>
      <c r="E17" s="31">
        <v>182.13333333333333</v>
      </c>
      <c r="F17" s="31">
        <v>204.1</v>
      </c>
      <c r="G17" s="31">
        <v>302.65000000000003</v>
      </c>
      <c r="H17" s="31">
        <v>408.39999999999992</v>
      </c>
      <c r="I17" s="31">
        <v>515.6</v>
      </c>
      <c r="J17" s="31">
        <v>617.06666666666661</v>
      </c>
      <c r="K17" s="31">
        <v>815.9666666666667</v>
      </c>
      <c r="L17" s="31">
        <v>1031.7</v>
      </c>
      <c r="M17" s="31">
        <v>1230.9599999999998</v>
      </c>
      <c r="N17" s="31">
        <v>1427.3</v>
      </c>
      <c r="O17" s="31">
        <v>1635.825</v>
      </c>
      <c r="P17" s="31">
        <v>1836.1</v>
      </c>
      <c r="Q17" s="31">
        <v>2044.3</v>
      </c>
      <c r="R17" s="31">
        <v>2552.3249999999998</v>
      </c>
      <c r="S17" s="32">
        <v>3061.3666666666663</v>
      </c>
      <c r="T17" s="39"/>
      <c r="U17" s="5"/>
    </row>
    <row r="18" spans="2:21" x14ac:dyDescent="0.15">
      <c r="B18" s="28" t="s">
        <v>35</v>
      </c>
      <c r="C18" s="29" t="s">
        <v>25</v>
      </c>
      <c r="D18" s="30">
        <v>1065</v>
      </c>
      <c r="E18" s="31">
        <v>1063.5333333333333</v>
      </c>
      <c r="F18" s="31">
        <v>1063.1000000000001</v>
      </c>
      <c r="G18" s="31">
        <v>1060.1500000000001</v>
      </c>
      <c r="H18" s="31">
        <v>1055.9333333333334</v>
      </c>
      <c r="I18" s="31">
        <v>1051.7</v>
      </c>
      <c r="J18" s="31">
        <v>1047.9666666666665</v>
      </c>
      <c r="K18" s="31">
        <v>1039.8666666666668</v>
      </c>
      <c r="L18" s="31">
        <v>1032.825</v>
      </c>
      <c r="M18" s="31">
        <v>1025.2</v>
      </c>
      <c r="N18" s="31">
        <v>1017.95</v>
      </c>
      <c r="O18" s="31">
        <v>1011.525</v>
      </c>
      <c r="P18" s="31">
        <v>1004.7</v>
      </c>
      <c r="Q18" s="31">
        <v>997.6</v>
      </c>
      <c r="R18" s="31">
        <v>982.15000000000009</v>
      </c>
      <c r="S18" s="32">
        <v>967.79999999999984</v>
      </c>
      <c r="T18" s="39"/>
      <c r="U18" s="5"/>
    </row>
    <row r="19" spans="2:21" x14ac:dyDescent="0.15">
      <c r="B19" s="28" t="s">
        <v>36</v>
      </c>
      <c r="C19" s="29" t="s">
        <v>26</v>
      </c>
      <c r="D19" s="30">
        <v>0</v>
      </c>
      <c r="E19" s="31">
        <v>0.62398693333333322</v>
      </c>
      <c r="F19" s="31">
        <v>0.81732026666666668</v>
      </c>
      <c r="G19" s="31">
        <v>1.7131535999999998</v>
      </c>
      <c r="H19" s="31">
        <v>2.6706536000000001</v>
      </c>
      <c r="I19" s="31">
        <v>3.6486535999999998</v>
      </c>
      <c r="J19" s="31">
        <v>4.613986933333333</v>
      </c>
      <c r="K19" s="31">
        <v>6.4039869333333339</v>
      </c>
      <c r="L19" s="31">
        <v>8.3956535999999993</v>
      </c>
      <c r="M19" s="31">
        <v>10.272653600000002</v>
      </c>
      <c r="N19" s="31">
        <v>12.1406536</v>
      </c>
      <c r="O19" s="31">
        <v>14.103153600000002</v>
      </c>
      <c r="P19" s="31">
        <v>16.018153600000002</v>
      </c>
      <c r="Q19" s="31">
        <v>18.030653600000001</v>
      </c>
      <c r="R19" s="31">
        <v>22.973153600000003</v>
      </c>
      <c r="S19" s="32">
        <v>27.987320266666668</v>
      </c>
      <c r="T19" s="39"/>
      <c r="U19" s="5"/>
    </row>
    <row r="20" spans="2:21" x14ac:dyDescent="0.15">
      <c r="B20" s="28" t="s">
        <v>37</v>
      </c>
      <c r="C20" s="29" t="s">
        <v>38</v>
      </c>
      <c r="D20" s="30">
        <v>0</v>
      </c>
      <c r="E20" s="31">
        <v>69.495265669219251</v>
      </c>
      <c r="F20" s="31">
        <v>90.990280562805452</v>
      </c>
      <c r="G20" s="31">
        <v>190.19199715664655</v>
      </c>
      <c r="H20" s="31">
        <v>295.31307701811818</v>
      </c>
      <c r="I20" s="31">
        <v>401.83996347345266</v>
      </c>
      <c r="J20" s="31">
        <v>506.35190385688122</v>
      </c>
      <c r="K20" s="31">
        <v>697.3594846603014</v>
      </c>
      <c r="L20" s="31">
        <v>908.05022671243341</v>
      </c>
      <c r="M20" s="31">
        <v>1102.8586636105031</v>
      </c>
      <c r="N20" s="31">
        <v>1294.1872965667396</v>
      </c>
      <c r="O20" s="31">
        <v>1493.8998194779133</v>
      </c>
      <c r="P20" s="31">
        <v>1685.300982936664</v>
      </c>
      <c r="Q20" s="31">
        <v>1883.6340321282773</v>
      </c>
      <c r="R20" s="31">
        <v>2362.8005064234985</v>
      </c>
      <c r="S20" s="32">
        <v>2836.4527493228816</v>
      </c>
      <c r="T20" s="39"/>
      <c r="U20" s="5"/>
    </row>
    <row r="21" spans="2:21" ht="14.25" thickBot="1" x14ac:dyDescent="0.2">
      <c r="B21" s="33" t="s">
        <v>24</v>
      </c>
      <c r="C21" s="34" t="s">
        <v>39</v>
      </c>
      <c r="D21" s="35">
        <v>0</v>
      </c>
      <c r="E21" s="36">
        <v>38.156258603158449</v>
      </c>
      <c r="F21" s="36">
        <v>44.581225165509778</v>
      </c>
      <c r="G21" s="36">
        <v>62.842226055392871</v>
      </c>
      <c r="H21" s="36">
        <v>72.309764206199361</v>
      </c>
      <c r="I21" s="36">
        <v>77.936377710134337</v>
      </c>
      <c r="J21" s="36">
        <v>82.057892803081458</v>
      </c>
      <c r="K21" s="36">
        <v>85.464212344495451</v>
      </c>
      <c r="L21" s="36">
        <v>88.014948794458988</v>
      </c>
      <c r="M21" s="36">
        <v>89.593379444539494</v>
      </c>
      <c r="N21" s="36">
        <v>90.67381045097315</v>
      </c>
      <c r="O21" s="36">
        <v>91.32393865345702</v>
      </c>
      <c r="P21" s="36">
        <v>91.786993243105712</v>
      </c>
      <c r="Q21" s="36">
        <v>92.14078325726544</v>
      </c>
      <c r="R21" s="36">
        <v>92.574437284573818</v>
      </c>
      <c r="S21" s="37">
        <v>92.653153253651922</v>
      </c>
      <c r="T21" s="39"/>
      <c r="U21" s="5"/>
    </row>
    <row r="22" spans="2:21" x14ac:dyDescent="0.15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</sheetData>
  <mergeCells count="10">
    <mergeCell ref="H10:I10"/>
    <mergeCell ref="H11:I11"/>
    <mergeCell ref="H12:I12"/>
    <mergeCell ref="B14:C14"/>
    <mergeCell ref="T3:U3"/>
    <mergeCell ref="H4:J4"/>
    <mergeCell ref="H5:I5"/>
    <mergeCell ref="H6:I6"/>
    <mergeCell ref="H7:I7"/>
    <mergeCell ref="H9:J9"/>
  </mergeCells>
  <phoneticPr fontId="3"/>
  <pageMargins left="0.25" right="0.25" top="0.75" bottom="0.75" header="0.3" footer="0.3"/>
  <pageSetup paperSize="9" scale="7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14EAC-D1C2-4640-9B41-D575B899523F}">
  <sheetPr>
    <tabColor rgb="FF92D050"/>
    <pageSetUpPr fitToPage="1"/>
  </sheetPr>
  <dimension ref="B1:U22"/>
  <sheetViews>
    <sheetView showGridLines="0" tabSelected="1" topLeftCell="A7" zoomScale="70" zoomScaleNormal="70" workbookViewId="0">
      <selection activeCell="R20" sqref="R20"/>
    </sheetView>
  </sheetViews>
  <sheetFormatPr defaultColWidth="9" defaultRowHeight="13.5" x14ac:dyDescent="0.15"/>
  <cols>
    <col min="1" max="1" width="2.5" style="1" customWidth="1"/>
    <col min="2" max="2" width="18.875" style="1" customWidth="1"/>
    <col min="3" max="3" width="8.125" style="1" customWidth="1"/>
    <col min="4" max="19" width="8.25" style="1" customWidth="1"/>
    <col min="20" max="20" width="8.125" style="1" customWidth="1"/>
    <col min="21" max="16384" width="9" style="1"/>
  </cols>
  <sheetData>
    <row r="1" spans="2:21" ht="14.25" x14ac:dyDescent="0.15">
      <c r="B1" s="3" t="s">
        <v>0</v>
      </c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2:21" ht="14.25" x14ac:dyDescent="0.15">
      <c r="B2" s="3"/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2:21" x14ac:dyDescent="0.15">
      <c r="B3" s="6" t="s">
        <v>1</v>
      </c>
      <c r="C3" s="7" t="s">
        <v>2</v>
      </c>
      <c r="D3" s="5"/>
      <c r="E3" s="5"/>
      <c r="F3" s="8"/>
      <c r="G3" s="5"/>
      <c r="H3" s="5"/>
      <c r="I3" s="5"/>
      <c r="J3" s="9"/>
      <c r="K3" s="5"/>
      <c r="L3" s="5"/>
      <c r="M3" s="5"/>
      <c r="N3" s="5"/>
      <c r="O3" s="5"/>
      <c r="P3" s="5"/>
      <c r="Q3" s="5"/>
      <c r="R3" s="5"/>
      <c r="S3" s="5"/>
      <c r="T3" s="46">
        <v>45184</v>
      </c>
      <c r="U3" s="46"/>
    </row>
    <row r="4" spans="2:21" x14ac:dyDescent="0.15">
      <c r="B4" s="6" t="s">
        <v>3</v>
      </c>
      <c r="C4" s="5" t="s">
        <v>4</v>
      </c>
      <c r="D4" s="5"/>
      <c r="E4" s="5"/>
      <c r="F4" s="5"/>
      <c r="G4" s="5"/>
      <c r="H4" s="47" t="s">
        <v>5</v>
      </c>
      <c r="I4" s="47"/>
      <c r="J4" s="47"/>
      <c r="K4" s="5"/>
      <c r="L4" s="5"/>
      <c r="M4" s="5"/>
      <c r="N4" s="5"/>
      <c r="O4" s="5"/>
      <c r="P4" s="5"/>
      <c r="Q4" s="11"/>
      <c r="R4" s="11"/>
      <c r="S4" s="5"/>
      <c r="T4" s="5"/>
      <c r="U4" s="5"/>
    </row>
    <row r="5" spans="2:21" x14ac:dyDescent="0.15">
      <c r="B5" s="6"/>
      <c r="C5" s="12"/>
      <c r="D5" s="5"/>
      <c r="E5" s="5"/>
      <c r="F5" s="5"/>
      <c r="G5" s="5"/>
      <c r="H5" s="48" t="s">
        <v>6</v>
      </c>
      <c r="I5" s="48"/>
      <c r="J5" s="10" t="s">
        <v>7</v>
      </c>
      <c r="K5" s="5"/>
      <c r="L5" s="5"/>
      <c r="M5" s="5"/>
      <c r="N5" s="5"/>
      <c r="O5" s="5"/>
      <c r="P5" s="5"/>
      <c r="Q5" s="11"/>
      <c r="R5" s="11"/>
      <c r="S5" s="5"/>
      <c r="T5" s="5"/>
      <c r="U5" s="5"/>
    </row>
    <row r="6" spans="2:21" x14ac:dyDescent="0.15">
      <c r="B6" s="13" t="s">
        <v>8</v>
      </c>
      <c r="C6" s="14"/>
      <c r="D6" s="5"/>
      <c r="E6" s="5"/>
      <c r="F6" s="5"/>
      <c r="G6" s="5"/>
      <c r="H6" s="48" t="s">
        <v>9</v>
      </c>
      <c r="I6" s="48"/>
      <c r="J6" s="10" t="s">
        <v>10</v>
      </c>
      <c r="K6" s="5"/>
      <c r="L6" s="5"/>
      <c r="M6" s="5"/>
      <c r="N6" s="5"/>
      <c r="O6" s="5"/>
      <c r="P6" s="5"/>
      <c r="Q6" s="11"/>
      <c r="R6" s="11"/>
      <c r="S6" s="5"/>
      <c r="T6" s="5"/>
      <c r="U6" s="5"/>
    </row>
    <row r="7" spans="2:21" x14ac:dyDescent="0.15">
      <c r="B7" s="13" t="s">
        <v>11</v>
      </c>
      <c r="C7" s="15" t="s">
        <v>12</v>
      </c>
      <c r="D7" s="5"/>
      <c r="E7" s="5"/>
      <c r="F7" s="5"/>
      <c r="G7" s="5"/>
      <c r="H7" s="48" t="s">
        <v>13</v>
      </c>
      <c r="I7" s="48"/>
      <c r="J7" s="10" t="s">
        <v>14</v>
      </c>
      <c r="K7" s="16"/>
      <c r="L7" s="5"/>
      <c r="M7" s="5"/>
      <c r="N7" s="5"/>
      <c r="O7" s="5"/>
      <c r="P7" s="5"/>
      <c r="Q7" s="11"/>
      <c r="R7" s="11"/>
      <c r="S7" s="5"/>
      <c r="T7" s="5"/>
      <c r="U7" s="5"/>
    </row>
    <row r="8" spans="2:21" x14ac:dyDescent="0.15">
      <c r="B8" s="13" t="s">
        <v>15</v>
      </c>
      <c r="C8" s="15">
        <v>0</v>
      </c>
      <c r="D8" s="5"/>
      <c r="E8" s="5"/>
      <c r="F8" s="5"/>
      <c r="G8" s="5"/>
      <c r="H8" s="5"/>
      <c r="I8" s="7"/>
      <c r="J8" s="5"/>
      <c r="K8" s="5"/>
      <c r="L8" s="5"/>
      <c r="M8" s="5"/>
      <c r="N8" s="5"/>
      <c r="O8" s="5"/>
      <c r="P8" s="5"/>
      <c r="Q8" s="11"/>
      <c r="R8" s="11"/>
      <c r="S8" s="5"/>
      <c r="T8" s="5"/>
      <c r="U8" s="5"/>
    </row>
    <row r="9" spans="2:21" x14ac:dyDescent="0.15">
      <c r="B9" s="6" t="s">
        <v>16</v>
      </c>
      <c r="C9" s="5" t="s">
        <v>41</v>
      </c>
      <c r="D9" s="5"/>
      <c r="E9" s="5"/>
      <c r="F9" s="5"/>
      <c r="G9" s="5"/>
      <c r="H9" s="49" t="s">
        <v>18</v>
      </c>
      <c r="I9" s="50"/>
      <c r="J9" s="51"/>
      <c r="K9" s="5"/>
      <c r="L9" s="5"/>
      <c r="M9" s="5"/>
      <c r="N9" s="5"/>
      <c r="O9" s="5"/>
      <c r="P9" s="5"/>
      <c r="Q9" s="11"/>
      <c r="R9" s="11"/>
      <c r="S9" s="5"/>
      <c r="T9" s="5"/>
      <c r="U9" s="5"/>
    </row>
    <row r="10" spans="2:21" x14ac:dyDescent="0.15">
      <c r="B10" s="17" t="s">
        <v>19</v>
      </c>
      <c r="C10" s="18">
        <v>1</v>
      </c>
      <c r="D10" s="5"/>
      <c r="E10" s="5"/>
      <c r="F10" s="5"/>
      <c r="G10" s="5"/>
      <c r="H10" s="42" t="s">
        <v>20</v>
      </c>
      <c r="I10" s="43"/>
      <c r="J10" s="19" t="s">
        <v>21</v>
      </c>
      <c r="K10" s="5"/>
      <c r="L10" s="5"/>
      <c r="M10" s="5"/>
      <c r="N10" s="5"/>
      <c r="O10" s="5"/>
      <c r="P10" s="5"/>
      <c r="Q10" s="11"/>
      <c r="R10" s="11"/>
      <c r="S10" s="5"/>
      <c r="T10" s="5"/>
      <c r="U10" s="5"/>
    </row>
    <row r="11" spans="2:21" ht="27" customHeight="1" x14ac:dyDescent="0.15">
      <c r="B11" s="5"/>
      <c r="C11" s="5"/>
      <c r="D11" s="5"/>
      <c r="E11" s="5"/>
      <c r="F11" s="5"/>
      <c r="G11" s="5"/>
      <c r="H11" s="42" t="s">
        <v>22</v>
      </c>
      <c r="I11" s="43"/>
      <c r="J11" s="19" t="s">
        <v>21</v>
      </c>
      <c r="K11" s="5"/>
      <c r="L11" s="5"/>
      <c r="M11" s="5"/>
      <c r="N11" s="5"/>
      <c r="O11" s="5"/>
      <c r="P11" s="5"/>
      <c r="Q11" s="11"/>
      <c r="R11" s="11"/>
      <c r="S11" s="5"/>
      <c r="T11" s="5"/>
      <c r="U11" s="5"/>
    </row>
    <row r="12" spans="2:21" ht="27.75" customHeight="1" x14ac:dyDescent="0.15">
      <c r="B12" s="5"/>
      <c r="C12" s="5"/>
      <c r="D12" s="5"/>
      <c r="E12" s="5"/>
      <c r="F12" s="5"/>
      <c r="G12" s="5"/>
      <c r="H12" s="44" t="s">
        <v>13</v>
      </c>
      <c r="I12" s="44"/>
      <c r="J12" s="19" t="s">
        <v>23</v>
      </c>
      <c r="K12" s="16"/>
      <c r="L12" s="5"/>
      <c r="M12" s="5"/>
      <c r="N12" s="5"/>
      <c r="O12" s="5"/>
      <c r="P12" s="5"/>
      <c r="Q12" s="11"/>
      <c r="R12" s="11"/>
      <c r="S12" s="5"/>
      <c r="T12" s="5"/>
      <c r="U12" s="5"/>
    </row>
    <row r="13" spans="2:21" ht="27.75" customHeight="1" x14ac:dyDescent="0.15">
      <c r="B13" s="5"/>
      <c r="C13" s="5"/>
      <c r="D13" s="5"/>
      <c r="E13" s="5"/>
      <c r="F13" s="5"/>
      <c r="G13" s="5"/>
      <c r="H13" s="16"/>
      <c r="I13" s="16"/>
      <c r="J13" s="16"/>
      <c r="K13" s="5"/>
      <c r="L13" s="5"/>
      <c r="M13" s="5"/>
      <c r="N13" s="5"/>
      <c r="O13" s="5"/>
      <c r="P13" s="5"/>
      <c r="Q13" s="11"/>
      <c r="R13" s="11"/>
      <c r="S13" s="5"/>
      <c r="T13" s="5"/>
      <c r="U13" s="5"/>
    </row>
    <row r="14" spans="2:21" ht="14.25" thickBot="1" x14ac:dyDescent="0.2">
      <c r="B14" s="45" t="s">
        <v>27</v>
      </c>
      <c r="C14" s="45"/>
      <c r="D14" s="38">
        <v>83.047089999999997</v>
      </c>
      <c r="E14" s="38">
        <v>83.002994199999989</v>
      </c>
      <c r="F14" s="38">
        <v>82.354156000000003</v>
      </c>
      <c r="G14" s="38">
        <v>81.892200000000003</v>
      </c>
      <c r="H14" s="38">
        <v>81.491138199999995</v>
      </c>
      <c r="I14" s="38">
        <v>81.010283999999984</v>
      </c>
      <c r="J14" s="38">
        <v>80.540453749999998</v>
      </c>
      <c r="K14" s="38">
        <v>79.669036750000004</v>
      </c>
      <c r="L14" s="38">
        <v>78.857989000000003</v>
      </c>
      <c r="M14" s="38">
        <v>77.934077000000002</v>
      </c>
      <c r="N14" s="38">
        <v>77.020663999999996</v>
      </c>
      <c r="O14" s="38">
        <v>76.243738000000008</v>
      </c>
      <c r="P14" s="38">
        <v>75.395943750000001</v>
      </c>
      <c r="Q14" s="38">
        <v>74.542900000000003</v>
      </c>
      <c r="R14" s="38">
        <v>72.634181799999993</v>
      </c>
      <c r="S14" s="38">
        <v>70.742261999999997</v>
      </c>
      <c r="T14" s="21" t="s">
        <v>28</v>
      </c>
      <c r="U14" s="5"/>
    </row>
    <row r="15" spans="2:21" x14ac:dyDescent="0.15">
      <c r="B15" s="22" t="s">
        <v>29</v>
      </c>
      <c r="C15" s="23" t="s">
        <v>30</v>
      </c>
      <c r="D15" s="24">
        <v>102.63499999999999</v>
      </c>
      <c r="E15" s="25">
        <v>102.57000000000001</v>
      </c>
      <c r="F15" s="25">
        <v>102.295</v>
      </c>
      <c r="G15" s="25">
        <v>102.25999999999999</v>
      </c>
      <c r="H15" s="25">
        <v>102.22</v>
      </c>
      <c r="I15" s="25">
        <v>102.2</v>
      </c>
      <c r="J15" s="25">
        <v>102.185</v>
      </c>
      <c r="K15" s="25">
        <v>102.1525</v>
      </c>
      <c r="L15" s="25">
        <v>102.22</v>
      </c>
      <c r="M15" s="25">
        <v>102.1875</v>
      </c>
      <c r="N15" s="25">
        <v>102.15666666666668</v>
      </c>
      <c r="O15" s="25">
        <v>102.21</v>
      </c>
      <c r="P15" s="25">
        <v>102.1825</v>
      </c>
      <c r="Q15" s="25">
        <v>102.15666666666668</v>
      </c>
      <c r="R15" s="25">
        <v>102.172</v>
      </c>
      <c r="S15" s="26">
        <v>102.19</v>
      </c>
      <c r="T15" s="39"/>
      <c r="U15" s="5"/>
    </row>
    <row r="16" spans="2:21" x14ac:dyDescent="0.15">
      <c r="B16" s="28" t="s">
        <v>31</v>
      </c>
      <c r="C16" s="29" t="s">
        <v>32</v>
      </c>
      <c r="D16" s="30">
        <v>0.71099999999999997</v>
      </c>
      <c r="E16" s="31">
        <v>1.1346000000000001</v>
      </c>
      <c r="F16" s="31">
        <v>2.1109999999999998</v>
      </c>
      <c r="G16" s="31">
        <v>3.0973333333333337</v>
      </c>
      <c r="H16" s="31">
        <v>3.9823999999999997</v>
      </c>
      <c r="I16" s="31">
        <v>5.1633333333333331</v>
      </c>
      <c r="J16" s="31">
        <v>6.1147499999999999</v>
      </c>
      <c r="K16" s="31">
        <v>8.0097499999999986</v>
      </c>
      <c r="L16" s="31">
        <v>10.007249999999999</v>
      </c>
      <c r="M16" s="31">
        <v>12.0915</v>
      </c>
      <c r="N16" s="31">
        <v>14.148333333333333</v>
      </c>
      <c r="O16" s="31">
        <v>16.283999999999999</v>
      </c>
      <c r="P16" s="31">
        <v>17.968500000000002</v>
      </c>
      <c r="Q16" s="31">
        <v>20.119666666666667</v>
      </c>
      <c r="R16" s="31">
        <v>24.981400000000001</v>
      </c>
      <c r="S16" s="32">
        <v>30.236000000000001</v>
      </c>
      <c r="T16" s="39"/>
      <c r="U16" s="5"/>
    </row>
    <row r="17" spans="2:21" x14ac:dyDescent="0.15">
      <c r="B17" s="28" t="s">
        <v>33</v>
      </c>
      <c r="C17" s="29" t="s">
        <v>34</v>
      </c>
      <c r="D17" s="30">
        <v>72.349999999999994</v>
      </c>
      <c r="E17" s="31">
        <v>115.58</v>
      </c>
      <c r="F17" s="31">
        <v>215.4</v>
      </c>
      <c r="G17" s="31">
        <v>316.39999999999998</v>
      </c>
      <c r="H17" s="31">
        <v>406.88</v>
      </c>
      <c r="I17" s="31">
        <v>527.5</v>
      </c>
      <c r="J17" s="31">
        <v>624.625</v>
      </c>
      <c r="K17" s="31">
        <v>818.02499999999998</v>
      </c>
      <c r="L17" s="31">
        <v>1022.8000000000001</v>
      </c>
      <c r="M17" s="31">
        <v>1235.4250000000002</v>
      </c>
      <c r="N17" s="31">
        <v>1445.1666666666667</v>
      </c>
      <c r="O17" s="31">
        <v>1664.3</v>
      </c>
      <c r="P17" s="31">
        <v>1835.9</v>
      </c>
      <c r="Q17" s="31">
        <v>2055.0666666666666</v>
      </c>
      <c r="R17" s="31">
        <v>2552.2199999999998</v>
      </c>
      <c r="S17" s="32">
        <v>3089.4</v>
      </c>
      <c r="T17" s="39"/>
      <c r="U17" s="5"/>
    </row>
    <row r="18" spans="2:21" x14ac:dyDescent="0.15">
      <c r="B18" s="28" t="s">
        <v>35</v>
      </c>
      <c r="C18" s="29" t="s">
        <v>25</v>
      </c>
      <c r="D18" s="30">
        <v>791</v>
      </c>
      <c r="E18" s="31">
        <v>790.57999999999993</v>
      </c>
      <c r="F18" s="31">
        <v>784.4</v>
      </c>
      <c r="G18" s="31">
        <v>780</v>
      </c>
      <c r="H18" s="31">
        <v>776.18</v>
      </c>
      <c r="I18" s="31">
        <v>771.59999999999991</v>
      </c>
      <c r="J18" s="31">
        <v>767.125</v>
      </c>
      <c r="K18" s="31">
        <v>758.82500000000005</v>
      </c>
      <c r="L18" s="31">
        <v>751.1</v>
      </c>
      <c r="M18" s="31">
        <v>742.3</v>
      </c>
      <c r="N18" s="31">
        <v>733.6</v>
      </c>
      <c r="O18" s="31">
        <v>726.2</v>
      </c>
      <c r="P18" s="31">
        <v>718.125</v>
      </c>
      <c r="Q18" s="31">
        <v>710</v>
      </c>
      <c r="R18" s="31">
        <v>691.81999999999994</v>
      </c>
      <c r="S18" s="32">
        <v>673.8</v>
      </c>
      <c r="T18" s="39"/>
      <c r="U18" s="5"/>
    </row>
    <row r="19" spans="2:21" x14ac:dyDescent="0.15">
      <c r="B19" s="28" t="s">
        <v>36</v>
      </c>
      <c r="C19" s="29" t="s">
        <v>26</v>
      </c>
      <c r="D19" s="30">
        <v>0</v>
      </c>
      <c r="E19" s="31">
        <v>0.58290650000000011</v>
      </c>
      <c r="F19" s="31">
        <v>1.7079065</v>
      </c>
      <c r="G19" s="31">
        <v>2.9929065000000001</v>
      </c>
      <c r="H19" s="31">
        <v>4.1289065000000011</v>
      </c>
      <c r="I19" s="31">
        <v>5.5762398333333332</v>
      </c>
      <c r="J19" s="31">
        <v>6.8304064999999996</v>
      </c>
      <c r="K19" s="31">
        <v>9.3454064999999993</v>
      </c>
      <c r="L19" s="31">
        <v>11.9829065</v>
      </c>
      <c r="M19" s="31">
        <v>14.7679065</v>
      </c>
      <c r="N19" s="31">
        <v>17.586239833333334</v>
      </c>
      <c r="O19" s="31">
        <v>20.3529065</v>
      </c>
      <c r="P19" s="31">
        <v>22.960406500000001</v>
      </c>
      <c r="Q19" s="31">
        <v>25.939573166666666</v>
      </c>
      <c r="R19" s="31">
        <v>33.022906499999998</v>
      </c>
      <c r="S19" s="32">
        <v>40.702906499999997</v>
      </c>
      <c r="T19" s="39"/>
      <c r="U19" s="5"/>
    </row>
    <row r="20" spans="2:21" x14ac:dyDescent="0.15">
      <c r="B20" s="28" t="s">
        <v>37</v>
      </c>
      <c r="C20" s="29" t="s">
        <v>38</v>
      </c>
      <c r="D20" s="30">
        <v>0</v>
      </c>
      <c r="E20" s="31">
        <v>48.258446749793627</v>
      </c>
      <c r="F20" s="31">
        <v>140.29115617084264</v>
      </c>
      <c r="G20" s="31">
        <v>244.46481990530964</v>
      </c>
      <c r="H20" s="31">
        <v>335.60321626533653</v>
      </c>
      <c r="I20" s="31">
        <v>450.5700097248087</v>
      </c>
      <c r="J20" s="31">
        <v>548.70801628061656</v>
      </c>
      <c r="K20" s="31">
        <v>742.62308473279018</v>
      </c>
      <c r="L20" s="31">
        <v>942.51560746406653</v>
      </c>
      <c r="M20" s="31">
        <v>1147.9606792797365</v>
      </c>
      <c r="N20" s="31">
        <v>1351.0173682640195</v>
      </c>
      <c r="O20" s="31">
        <v>1547.7873755352496</v>
      </c>
      <c r="P20" s="31">
        <v>1726.6655999380587</v>
      </c>
      <c r="Q20" s="31">
        <v>1928.6338824444999</v>
      </c>
      <c r="R20" s="31">
        <v>2392.4178048346753</v>
      </c>
      <c r="S20" s="32">
        <v>2872.004042821819</v>
      </c>
      <c r="T20" s="39"/>
      <c r="U20" s="5"/>
    </row>
    <row r="21" spans="2:21" ht="14.25" thickBot="1" x14ac:dyDescent="0.2">
      <c r="B21" s="33" t="s">
        <v>24</v>
      </c>
      <c r="C21" s="34" t="s">
        <v>39</v>
      </c>
      <c r="D21" s="35">
        <v>0</v>
      </c>
      <c r="E21" s="36">
        <v>41.75328495396576</v>
      </c>
      <c r="F21" s="36">
        <v>65.130527470214787</v>
      </c>
      <c r="G21" s="36">
        <v>77.264481638846277</v>
      </c>
      <c r="H21" s="36">
        <v>82.482111744331633</v>
      </c>
      <c r="I21" s="36">
        <v>85.416115587641457</v>
      </c>
      <c r="J21" s="36">
        <v>87.845990199018061</v>
      </c>
      <c r="K21" s="36">
        <v>90.782443657931012</v>
      </c>
      <c r="L21" s="36">
        <v>92.150528692223943</v>
      </c>
      <c r="M21" s="36">
        <v>92.920305099843077</v>
      </c>
      <c r="N21" s="36">
        <v>93.485229034530235</v>
      </c>
      <c r="O21" s="36">
        <v>92.999301540302199</v>
      </c>
      <c r="P21" s="36">
        <v>94.050089870802253</v>
      </c>
      <c r="Q21" s="36">
        <v>93.847752665501531</v>
      </c>
      <c r="R21" s="36">
        <v>93.738698264047599</v>
      </c>
      <c r="S21" s="37">
        <v>92.96316575457432</v>
      </c>
      <c r="T21" s="39"/>
      <c r="U21" s="5"/>
    </row>
    <row r="22" spans="2:21" x14ac:dyDescent="0.15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</sheetData>
  <mergeCells count="10">
    <mergeCell ref="H10:I10"/>
    <mergeCell ref="H11:I11"/>
    <mergeCell ref="H12:I12"/>
    <mergeCell ref="B14:C14"/>
    <mergeCell ref="T3:U3"/>
    <mergeCell ref="H4:J4"/>
    <mergeCell ref="H5:I5"/>
    <mergeCell ref="H6:I6"/>
    <mergeCell ref="H7:I7"/>
    <mergeCell ref="H9:J9"/>
  </mergeCells>
  <phoneticPr fontId="3"/>
  <pageMargins left="0.25" right="0.25" top="0.75" bottom="0.75" header="0.3" footer="0.3"/>
  <pageSetup paperSize="9" scale="7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A348C-36F4-49DE-A143-1BD30F6CF77E}">
  <sheetPr>
    <tabColor rgb="FF92D050"/>
    <pageSetUpPr fitToPage="1"/>
  </sheetPr>
  <dimension ref="B1:U21"/>
  <sheetViews>
    <sheetView showGridLines="0" topLeftCell="A7" zoomScale="70" zoomScaleNormal="70" workbookViewId="0">
      <selection activeCell="V37" sqref="V37"/>
    </sheetView>
  </sheetViews>
  <sheetFormatPr defaultColWidth="9" defaultRowHeight="13.5" x14ac:dyDescent="0.15"/>
  <cols>
    <col min="1" max="1" width="2.5" style="1" customWidth="1"/>
    <col min="2" max="2" width="18.875" style="1" customWidth="1"/>
    <col min="3" max="3" width="8.125" style="1" customWidth="1"/>
    <col min="4" max="19" width="8.25" style="1" customWidth="1"/>
    <col min="20" max="20" width="8.125" style="1" customWidth="1"/>
    <col min="21" max="16384" width="9" style="1"/>
  </cols>
  <sheetData>
    <row r="1" spans="2:21" ht="14.25" x14ac:dyDescent="0.15">
      <c r="B1" s="3" t="s">
        <v>0</v>
      </c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2:21" ht="14.25" x14ac:dyDescent="0.15">
      <c r="B2" s="3"/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2:21" x14ac:dyDescent="0.15">
      <c r="B3" s="6" t="s">
        <v>1</v>
      </c>
      <c r="C3" s="7" t="s">
        <v>2</v>
      </c>
      <c r="D3" s="5"/>
      <c r="E3" s="5"/>
      <c r="F3" s="8"/>
      <c r="G3" s="5"/>
      <c r="H3" s="5"/>
      <c r="I3" s="5"/>
      <c r="J3" s="9"/>
      <c r="K3" s="5"/>
      <c r="L3" s="5"/>
      <c r="M3" s="5"/>
      <c r="N3" s="5"/>
      <c r="O3" s="5"/>
      <c r="P3" s="5"/>
      <c r="Q3" s="5"/>
      <c r="R3" s="5"/>
      <c r="S3" s="5"/>
      <c r="T3" s="52">
        <v>45184</v>
      </c>
      <c r="U3" s="52"/>
    </row>
    <row r="4" spans="2:21" x14ac:dyDescent="0.15">
      <c r="B4" s="6" t="s">
        <v>3</v>
      </c>
      <c r="C4" s="5" t="s">
        <v>4</v>
      </c>
      <c r="D4" s="5"/>
      <c r="E4" s="5"/>
      <c r="F4" s="5"/>
      <c r="G4" s="5"/>
      <c r="H4" s="47" t="s">
        <v>5</v>
      </c>
      <c r="I4" s="47"/>
      <c r="J4" s="47"/>
      <c r="K4" s="5"/>
      <c r="L4" s="5"/>
      <c r="M4" s="5"/>
      <c r="N4" s="5"/>
      <c r="O4" s="5"/>
      <c r="P4" s="5"/>
      <c r="Q4" s="11"/>
      <c r="R4" s="11"/>
      <c r="S4" s="5"/>
    </row>
    <row r="5" spans="2:21" x14ac:dyDescent="0.15">
      <c r="B5" s="6"/>
      <c r="C5" s="12"/>
      <c r="D5" s="5"/>
      <c r="E5" s="5"/>
      <c r="F5" s="5"/>
      <c r="G5" s="5"/>
      <c r="H5" s="48" t="s">
        <v>6</v>
      </c>
      <c r="I5" s="48"/>
      <c r="J5" s="10" t="s">
        <v>7</v>
      </c>
      <c r="K5" s="5"/>
      <c r="L5" s="5"/>
      <c r="M5" s="5"/>
      <c r="N5" s="5"/>
      <c r="O5" s="5"/>
      <c r="P5" s="5"/>
      <c r="Q5" s="11"/>
      <c r="R5" s="11"/>
      <c r="S5" s="5"/>
    </row>
    <row r="6" spans="2:21" x14ac:dyDescent="0.15">
      <c r="B6" s="13" t="s">
        <v>8</v>
      </c>
      <c r="C6" s="14"/>
      <c r="D6" s="5"/>
      <c r="E6" s="5"/>
      <c r="F6" s="5"/>
      <c r="G6" s="5"/>
      <c r="H6" s="48" t="s">
        <v>9</v>
      </c>
      <c r="I6" s="48"/>
      <c r="J6" s="10" t="s">
        <v>10</v>
      </c>
      <c r="K6" s="5"/>
      <c r="L6" s="5"/>
      <c r="M6" s="5"/>
      <c r="N6" s="5"/>
      <c r="O6" s="5"/>
      <c r="P6" s="5"/>
      <c r="Q6" s="11"/>
      <c r="R6" s="11"/>
      <c r="S6" s="5"/>
    </row>
    <row r="7" spans="2:21" x14ac:dyDescent="0.15">
      <c r="B7" s="13" t="s">
        <v>11</v>
      </c>
      <c r="C7" s="15" t="s">
        <v>12</v>
      </c>
      <c r="D7" s="5"/>
      <c r="E7" s="5"/>
      <c r="F7" s="5"/>
      <c r="G7" s="5"/>
      <c r="H7" s="48" t="s">
        <v>13</v>
      </c>
      <c r="I7" s="48"/>
      <c r="J7" s="10" t="s">
        <v>14</v>
      </c>
      <c r="K7" s="16"/>
      <c r="L7" s="5"/>
      <c r="M7" s="5"/>
      <c r="N7" s="5"/>
      <c r="O7" s="5"/>
      <c r="P7" s="5"/>
      <c r="Q7" s="11"/>
      <c r="R7" s="11"/>
      <c r="S7" s="5"/>
    </row>
    <row r="8" spans="2:21" x14ac:dyDescent="0.15">
      <c r="B8" s="13" t="s">
        <v>15</v>
      </c>
      <c r="C8" s="15">
        <v>0</v>
      </c>
      <c r="D8" s="5"/>
      <c r="E8" s="5"/>
      <c r="F8" s="5"/>
      <c r="G8" s="5"/>
      <c r="H8" s="5"/>
      <c r="I8" s="7"/>
      <c r="J8" s="5"/>
      <c r="K8" s="5"/>
      <c r="L8" s="5"/>
      <c r="M8" s="5"/>
      <c r="N8" s="5"/>
      <c r="O8" s="5"/>
      <c r="P8" s="5"/>
      <c r="Q8" s="11"/>
      <c r="R8" s="11"/>
      <c r="S8" s="5"/>
    </row>
    <row r="9" spans="2:21" x14ac:dyDescent="0.15">
      <c r="B9" s="6" t="s">
        <v>16</v>
      </c>
      <c r="C9" s="5" t="s">
        <v>42</v>
      </c>
      <c r="D9" s="5"/>
      <c r="E9" s="5"/>
      <c r="F9" s="5"/>
      <c r="G9" s="5"/>
      <c r="H9" s="49" t="s">
        <v>18</v>
      </c>
      <c r="I9" s="50"/>
      <c r="J9" s="51"/>
      <c r="K9" s="5"/>
      <c r="L9" s="5"/>
      <c r="M9" s="5"/>
      <c r="N9" s="5"/>
      <c r="O9" s="5"/>
      <c r="P9" s="5"/>
      <c r="Q9" s="11"/>
      <c r="R9" s="11"/>
      <c r="S9" s="5"/>
    </row>
    <row r="10" spans="2:21" x14ac:dyDescent="0.15">
      <c r="B10" s="17" t="s">
        <v>19</v>
      </c>
      <c r="C10" s="18">
        <v>1</v>
      </c>
      <c r="D10" s="5"/>
      <c r="E10" s="5"/>
      <c r="F10" s="5"/>
      <c r="G10" s="5"/>
      <c r="H10" s="42" t="s">
        <v>20</v>
      </c>
      <c r="I10" s="43"/>
      <c r="J10" s="19" t="s">
        <v>21</v>
      </c>
      <c r="K10" s="5"/>
      <c r="L10" s="5"/>
      <c r="M10" s="5"/>
      <c r="N10" s="5"/>
      <c r="O10" s="5"/>
      <c r="P10" s="5"/>
      <c r="Q10" s="11"/>
      <c r="R10" s="11"/>
      <c r="S10" s="5"/>
    </row>
    <row r="11" spans="2:21" ht="27" customHeight="1" x14ac:dyDescent="0.15">
      <c r="B11" s="5"/>
      <c r="C11" s="5"/>
      <c r="D11" s="5"/>
      <c r="E11" s="5"/>
      <c r="F11" s="5"/>
      <c r="G11" s="5"/>
      <c r="H11" s="42" t="s">
        <v>22</v>
      </c>
      <c r="I11" s="43"/>
      <c r="J11" s="19" t="s">
        <v>21</v>
      </c>
      <c r="K11" s="5"/>
      <c r="L11" s="5"/>
      <c r="M11" s="5"/>
      <c r="N11" s="5"/>
      <c r="O11" s="5"/>
      <c r="P11" s="5"/>
      <c r="Q11" s="11"/>
      <c r="R11" s="11"/>
      <c r="S11" s="5"/>
    </row>
    <row r="12" spans="2:21" ht="27.75" customHeight="1" x14ac:dyDescent="0.15">
      <c r="B12" s="5"/>
      <c r="C12" s="5"/>
      <c r="D12" s="5"/>
      <c r="E12" s="5"/>
      <c r="F12" s="5"/>
      <c r="G12" s="5"/>
      <c r="H12" s="44" t="s">
        <v>13</v>
      </c>
      <c r="I12" s="44"/>
      <c r="J12" s="19" t="s">
        <v>23</v>
      </c>
      <c r="K12" s="16"/>
      <c r="L12" s="5"/>
      <c r="M12" s="5"/>
      <c r="N12" s="5"/>
      <c r="O12" s="5"/>
      <c r="P12" s="5"/>
      <c r="Q12" s="11"/>
      <c r="R12" s="11"/>
      <c r="S12" s="5"/>
    </row>
    <row r="13" spans="2:21" ht="27.75" customHeight="1" x14ac:dyDescent="0.15">
      <c r="B13" s="5"/>
      <c r="C13" s="5"/>
      <c r="D13" s="5"/>
      <c r="E13" s="5"/>
      <c r="F13" s="5"/>
      <c r="G13" s="5"/>
      <c r="H13" s="16"/>
      <c r="I13" s="16"/>
      <c r="J13" s="16"/>
      <c r="K13" s="5"/>
      <c r="L13" s="5"/>
      <c r="M13" s="5"/>
      <c r="N13" s="5"/>
      <c r="O13" s="5"/>
      <c r="P13" s="5"/>
      <c r="Q13" s="11"/>
      <c r="R13" s="11"/>
      <c r="S13" s="5"/>
    </row>
    <row r="14" spans="2:21" ht="14.25" thickBot="1" x14ac:dyDescent="0.2">
      <c r="B14" s="45" t="s">
        <v>27</v>
      </c>
      <c r="C14" s="45"/>
      <c r="D14" s="20">
        <v>117.90376999999999</v>
      </c>
      <c r="E14" s="20">
        <v>117.8250275</v>
      </c>
      <c r="F14" s="20">
        <v>117.16674020000001</v>
      </c>
      <c r="G14" s="20">
        <v>116.68063649999999</v>
      </c>
      <c r="H14" s="20">
        <v>116.20083220000002</v>
      </c>
      <c r="I14" s="20">
        <v>115.63861075</v>
      </c>
      <c r="J14" s="20">
        <v>114.88635739999998</v>
      </c>
      <c r="K14" s="20">
        <v>113.83225780000001</v>
      </c>
      <c r="L14" s="20">
        <v>112.83012825</v>
      </c>
      <c r="M14" s="20">
        <v>112.003332</v>
      </c>
      <c r="N14" s="20">
        <v>111.00802680000001</v>
      </c>
      <c r="O14" s="20">
        <v>110.05051800000001</v>
      </c>
      <c r="P14" s="20">
        <v>109.23159600000001</v>
      </c>
      <c r="Q14" s="20">
        <v>106.87982</v>
      </c>
      <c r="R14" s="20">
        <v>104.70652699999998</v>
      </c>
      <c r="S14" s="21" t="s">
        <v>28</v>
      </c>
    </row>
    <row r="15" spans="2:21" x14ac:dyDescent="0.15">
      <c r="B15" s="22" t="s">
        <v>29</v>
      </c>
      <c r="C15" s="23" t="s">
        <v>30</v>
      </c>
      <c r="D15" s="24">
        <v>102.6375</v>
      </c>
      <c r="E15" s="25">
        <v>102.4075</v>
      </c>
      <c r="F15" s="25">
        <v>102.232</v>
      </c>
      <c r="G15" s="25">
        <v>102.22</v>
      </c>
      <c r="H15" s="25">
        <v>102.19999999999999</v>
      </c>
      <c r="I15" s="25">
        <v>102.17999999999999</v>
      </c>
      <c r="J15" s="25">
        <v>102.252</v>
      </c>
      <c r="K15" s="25">
        <v>102.208</v>
      </c>
      <c r="L15" s="25">
        <v>102.17750000000001</v>
      </c>
      <c r="M15" s="25">
        <v>102.24666666666667</v>
      </c>
      <c r="N15" s="25">
        <v>102.22</v>
      </c>
      <c r="O15" s="25">
        <v>102.18</v>
      </c>
      <c r="P15" s="25">
        <v>102.25</v>
      </c>
      <c r="Q15" s="25">
        <v>102.17000000000002</v>
      </c>
      <c r="R15" s="26">
        <v>102.18666666666667</v>
      </c>
      <c r="S15" s="27"/>
      <c r="T15" s="2"/>
    </row>
    <row r="16" spans="2:21" x14ac:dyDescent="0.15">
      <c r="B16" s="28" t="s">
        <v>31</v>
      </c>
      <c r="C16" s="29" t="s">
        <v>32</v>
      </c>
      <c r="D16" s="30">
        <v>1.2535000000000001</v>
      </c>
      <c r="E16" s="31">
        <v>1.9584999999999997</v>
      </c>
      <c r="F16" s="31">
        <v>2.9144000000000001</v>
      </c>
      <c r="G16" s="31">
        <v>3.7735000000000003</v>
      </c>
      <c r="H16" s="31">
        <v>4.9805999999999999</v>
      </c>
      <c r="I16" s="31">
        <v>6.0902500000000002</v>
      </c>
      <c r="J16" s="31">
        <v>7.8933999999999997</v>
      </c>
      <c r="K16" s="31">
        <v>10.0198</v>
      </c>
      <c r="L16" s="31">
        <v>11.9695</v>
      </c>
      <c r="M16" s="31">
        <v>13.892000000000001</v>
      </c>
      <c r="N16" s="31">
        <v>16.067600000000002</v>
      </c>
      <c r="O16" s="31">
        <v>18.087</v>
      </c>
      <c r="P16" s="31">
        <v>20.020499999999998</v>
      </c>
      <c r="Q16" s="31">
        <v>24.92925</v>
      </c>
      <c r="R16" s="32">
        <v>29.936333333333334</v>
      </c>
      <c r="S16" s="27"/>
      <c r="T16" s="2"/>
    </row>
    <row r="17" spans="2:20" x14ac:dyDescent="0.15">
      <c r="B17" s="28" t="s">
        <v>33</v>
      </c>
      <c r="C17" s="29" t="s">
        <v>34</v>
      </c>
      <c r="D17" s="30">
        <v>127.55</v>
      </c>
      <c r="E17" s="31">
        <v>199.7</v>
      </c>
      <c r="F17" s="31">
        <v>297.2</v>
      </c>
      <c r="G17" s="31">
        <v>385.4</v>
      </c>
      <c r="H17" s="31">
        <v>508.73999999999995</v>
      </c>
      <c r="I17" s="31">
        <v>622.02499999999998</v>
      </c>
      <c r="J17" s="31">
        <v>806.78000000000009</v>
      </c>
      <c r="K17" s="31">
        <v>1023.82</v>
      </c>
      <c r="L17" s="31">
        <v>1222.675</v>
      </c>
      <c r="M17" s="31">
        <v>1420.1333333333332</v>
      </c>
      <c r="N17" s="31">
        <v>1642.2</v>
      </c>
      <c r="O17" s="31">
        <v>1847.8333333333333</v>
      </c>
      <c r="P17" s="31">
        <v>2046.75</v>
      </c>
      <c r="Q17" s="31">
        <v>2546.7750000000001</v>
      </c>
      <c r="R17" s="32">
        <v>3058.8333333333335</v>
      </c>
      <c r="S17" s="27"/>
      <c r="T17" s="2"/>
    </row>
    <row r="18" spans="2:20" x14ac:dyDescent="0.15">
      <c r="B18" s="28" t="s">
        <v>35</v>
      </c>
      <c r="C18" s="29" t="s">
        <v>25</v>
      </c>
      <c r="D18" s="30">
        <v>1123</v>
      </c>
      <c r="E18" s="31">
        <v>1122.25</v>
      </c>
      <c r="F18" s="31">
        <v>1115.98</v>
      </c>
      <c r="G18" s="31">
        <v>1111.3499999999999</v>
      </c>
      <c r="H18" s="31">
        <v>1106.7800000000002</v>
      </c>
      <c r="I18" s="31">
        <v>1101.425</v>
      </c>
      <c r="J18" s="31">
        <v>1094.2599999999998</v>
      </c>
      <c r="K18" s="31">
        <v>1084.22</v>
      </c>
      <c r="L18" s="31">
        <v>1074.675</v>
      </c>
      <c r="M18" s="31">
        <v>1066.8</v>
      </c>
      <c r="N18" s="31">
        <v>1057.3200000000002</v>
      </c>
      <c r="O18" s="31">
        <v>1048.2</v>
      </c>
      <c r="P18" s="31">
        <v>1040.4000000000001</v>
      </c>
      <c r="Q18" s="31">
        <v>1018</v>
      </c>
      <c r="R18" s="32">
        <v>997.29999999999984</v>
      </c>
      <c r="S18" s="27"/>
      <c r="T18" s="2"/>
    </row>
    <row r="19" spans="2:20" x14ac:dyDescent="0.15">
      <c r="B19" s="28" t="s">
        <v>36</v>
      </c>
      <c r="C19" s="29" t="s">
        <v>26</v>
      </c>
      <c r="D19" s="30">
        <v>0</v>
      </c>
      <c r="E19" s="31">
        <v>0.62892884999999987</v>
      </c>
      <c r="F19" s="31">
        <v>1.4934288499999997</v>
      </c>
      <c r="G19" s="31">
        <v>2.2864288500000001</v>
      </c>
      <c r="H19" s="31">
        <v>3.3214288500000002</v>
      </c>
      <c r="I19" s="31">
        <v>4.3589288500000007</v>
      </c>
      <c r="J19" s="31">
        <v>5.9814288499999995</v>
      </c>
      <c r="K19" s="31">
        <v>7.8794288499999992</v>
      </c>
      <c r="L19" s="31">
        <v>9.7189288500000011</v>
      </c>
      <c r="M19" s="31">
        <v>11.504762183333334</v>
      </c>
      <c r="N19" s="31">
        <v>13.513428850000002</v>
      </c>
      <c r="O19" s="31">
        <v>15.408095516666668</v>
      </c>
      <c r="P19" s="31">
        <v>17.296428849999998</v>
      </c>
      <c r="Q19" s="31">
        <v>22.166428849999999</v>
      </c>
      <c r="R19" s="32">
        <v>27.224762183333333</v>
      </c>
      <c r="S19" s="27"/>
      <c r="T19" s="2"/>
    </row>
    <row r="20" spans="2:20" x14ac:dyDescent="0.15">
      <c r="B20" s="28" t="s">
        <v>37</v>
      </c>
      <c r="C20" s="29" t="s">
        <v>38</v>
      </c>
      <c r="D20" s="30">
        <v>0</v>
      </c>
      <c r="E20" s="31">
        <v>73.912816047961229</v>
      </c>
      <c r="F20" s="31">
        <v>174.52979003199954</v>
      </c>
      <c r="G20" s="31">
        <v>266.0952751537983</v>
      </c>
      <c r="H20" s="31">
        <v>384.95935168456595</v>
      </c>
      <c r="I20" s="31">
        <v>502.76302192712461</v>
      </c>
      <c r="J20" s="31">
        <v>685.41575547356251</v>
      </c>
      <c r="K20" s="31">
        <v>894.6244648749082</v>
      </c>
      <c r="L20" s="31">
        <v>1093.7653646362121</v>
      </c>
      <c r="M20" s="31">
        <v>1285.2549072356346</v>
      </c>
      <c r="N20" s="31">
        <v>1496.2378080660856</v>
      </c>
      <c r="O20" s="31">
        <v>1691.3042312530861</v>
      </c>
      <c r="P20" s="31">
        <v>1884.4534164787297</v>
      </c>
      <c r="Q20" s="31">
        <v>2363.0457350682495</v>
      </c>
      <c r="R20" s="32">
        <v>2843.2728088712602</v>
      </c>
      <c r="S20" s="27"/>
      <c r="T20" s="2"/>
    </row>
    <row r="21" spans="2:20" ht="14.25" thickBot="1" x14ac:dyDescent="0.2">
      <c r="B21" s="33" t="s">
        <v>24</v>
      </c>
      <c r="C21" s="34" t="s">
        <v>39</v>
      </c>
      <c r="D21" s="35">
        <v>0</v>
      </c>
      <c r="E21" s="36">
        <v>37.01192591284989</v>
      </c>
      <c r="F21" s="36">
        <v>58.724693819649907</v>
      </c>
      <c r="G21" s="36">
        <v>69.043921939231538</v>
      </c>
      <c r="H21" s="36">
        <v>75.669173189559686</v>
      </c>
      <c r="I21" s="36">
        <v>80.826819167577611</v>
      </c>
      <c r="J21" s="36">
        <v>84.956959204933497</v>
      </c>
      <c r="K21" s="36">
        <v>87.381030344680525</v>
      </c>
      <c r="L21" s="36">
        <v>89.45675380916532</v>
      </c>
      <c r="M21" s="36">
        <v>90.502411081281195</v>
      </c>
      <c r="N21" s="36">
        <v>91.111789554627052</v>
      </c>
      <c r="O21" s="36">
        <v>91.529046518612049</v>
      </c>
      <c r="P21" s="36">
        <v>92.070522363685342</v>
      </c>
      <c r="Q21" s="36">
        <v>92.785806954609242</v>
      </c>
      <c r="R21" s="37">
        <v>92.952851594984793</v>
      </c>
      <c r="S21" s="27"/>
      <c r="T21" s="2"/>
    </row>
  </sheetData>
  <mergeCells count="10">
    <mergeCell ref="H10:I10"/>
    <mergeCell ref="H11:I11"/>
    <mergeCell ref="H12:I12"/>
    <mergeCell ref="B14:C14"/>
    <mergeCell ref="T3:U3"/>
    <mergeCell ref="H4:J4"/>
    <mergeCell ref="H5:I5"/>
    <mergeCell ref="H6:I6"/>
    <mergeCell ref="H7:I7"/>
    <mergeCell ref="H9:J9"/>
  </mergeCells>
  <phoneticPr fontId="3"/>
  <pageMargins left="0.25" right="0.25" top="0.75" bottom="0.75" header="0.3" footer="0.3"/>
  <pageSetup paperSize="9" scale="7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PWM_LO</vt:lpstr>
      <vt:lpstr>PWM_HI</vt:lpstr>
      <vt:lpstr>ECO_LO</vt:lpstr>
      <vt:lpstr>ECO_HI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MITSUBA</dc:creator>
  <cp:lastModifiedBy>小林　寛弥</cp:lastModifiedBy>
  <dcterms:created xsi:type="dcterms:W3CDTF">2023-09-15T06:58:05Z</dcterms:created>
  <dcterms:modified xsi:type="dcterms:W3CDTF">2026-08-03T08:17:00Z</dcterms:modified>
</cp:coreProperties>
</file>